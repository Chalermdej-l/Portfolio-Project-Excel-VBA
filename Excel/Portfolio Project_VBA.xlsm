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valon_Pratice_Code\Portfolio\Portfolio-Profect-Excel-VBA\Excel\"/>
    </mc:Choice>
  </mc:AlternateContent>
  <xr:revisionPtr revIDLastSave="0" documentId="13_ncr:1_{8E2962A6-07DE-4209-BD15-188AE409D571}" xr6:coauthVersionLast="47" xr6:coauthVersionMax="47" xr10:uidLastSave="{00000000-0000-0000-0000-000000000000}"/>
  <bookViews>
    <workbookView xWindow="-120" yWindow="-120" windowWidth="29040" windowHeight="15840" xr2:uid="{51285E2E-E599-4A95-B490-3BC12FC7EB4F}"/>
    <workbookView xWindow="-120" yWindow="-120" windowWidth="29040" windowHeight="15840" xr2:uid="{4253E66D-5970-458D-9F16-525165B01C08}"/>
  </bookViews>
  <sheets>
    <sheet name="Portfolio1" sheetId="2" r:id="rId1"/>
    <sheet name="Portfolio 2" sheetId="3" r:id="rId2"/>
    <sheet name="Portfolio 2_2" sheetId="4" r:id="rId3"/>
    <sheet name="Portfolio 3" sheetId="8" r:id="rId4"/>
    <sheet name="Portfolio 3_2" sheetId="7" r:id="rId5"/>
  </sheets>
  <definedNames>
    <definedName name="_xlnm._FilterDatabase" localSheetId="1" hidden="1">'Portfolio 2'!$A$2:$L$60</definedName>
    <definedName name="_xlnm._FilterDatabase" localSheetId="4" hidden="1">'Portfolio 3_2'!$A$2:$AP$60</definedName>
    <definedName name="CallData">#REF!</definedName>
    <definedName name="Data">#REF!</definedName>
    <definedName name="_xlnm.Print_Area" localSheetId="2">'Portfolio 2_2'!$A$1:$G$92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3" l="1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O3" i="3"/>
  <c r="N3" i="3" s="1"/>
  <c r="P60" i="3"/>
  <c r="Q60" i="3" s="1"/>
  <c r="P59" i="3"/>
  <c r="Q59" i="3" s="1"/>
  <c r="P58" i="3"/>
  <c r="Q58" i="3" s="1"/>
  <c r="P57" i="3"/>
  <c r="Q57" i="3" s="1"/>
  <c r="P56" i="3"/>
  <c r="Q56" i="3" s="1"/>
  <c r="P55" i="3"/>
  <c r="Q55" i="3" s="1"/>
  <c r="P54" i="3"/>
  <c r="Q54" i="3" s="1"/>
  <c r="P53" i="3"/>
  <c r="Q53" i="3" s="1"/>
  <c r="P52" i="3"/>
  <c r="Q52" i="3" s="1"/>
  <c r="P51" i="3"/>
  <c r="Q51" i="3" s="1"/>
  <c r="P50" i="3"/>
  <c r="Q50" i="3" s="1"/>
  <c r="P49" i="3"/>
  <c r="Q49" i="3" s="1"/>
  <c r="P48" i="3"/>
  <c r="Q48" i="3" s="1"/>
  <c r="P47" i="3"/>
  <c r="Q47" i="3" s="1"/>
  <c r="P46" i="3"/>
  <c r="Q46" i="3" s="1"/>
  <c r="P45" i="3"/>
  <c r="Q45" i="3" s="1"/>
  <c r="P44" i="3"/>
  <c r="Q44" i="3" s="1"/>
  <c r="P43" i="3"/>
  <c r="Q43" i="3" s="1"/>
  <c r="P42" i="3"/>
  <c r="Q42" i="3" s="1"/>
  <c r="P41" i="3"/>
  <c r="Q41" i="3" s="1"/>
  <c r="P40" i="3"/>
  <c r="Q40" i="3" s="1"/>
  <c r="P39" i="3"/>
  <c r="Q39" i="3" s="1"/>
  <c r="P38" i="3"/>
  <c r="Q38" i="3" s="1"/>
  <c r="P37" i="3"/>
  <c r="Q37" i="3" s="1"/>
  <c r="P36" i="3"/>
  <c r="Q36" i="3" s="1"/>
  <c r="P35" i="3"/>
  <c r="Q35" i="3" s="1"/>
  <c r="P34" i="3"/>
  <c r="Q34" i="3" s="1"/>
  <c r="P33" i="3"/>
  <c r="Q33" i="3" s="1"/>
  <c r="P32" i="3"/>
  <c r="Q32" i="3" s="1"/>
  <c r="P31" i="3"/>
  <c r="Q31" i="3" s="1"/>
  <c r="P30" i="3"/>
  <c r="Q30" i="3" s="1"/>
  <c r="P29" i="3"/>
  <c r="Q29" i="3" s="1"/>
  <c r="P28" i="3"/>
  <c r="Q28" i="3" s="1"/>
  <c r="P27" i="3"/>
  <c r="Q27" i="3" s="1"/>
  <c r="P26" i="3"/>
  <c r="Q26" i="3" s="1"/>
  <c r="P25" i="3"/>
  <c r="Q25" i="3" s="1"/>
  <c r="P24" i="3"/>
  <c r="Q24" i="3" s="1"/>
  <c r="P23" i="3"/>
  <c r="Q23" i="3" s="1"/>
  <c r="P22" i="3"/>
  <c r="Q22" i="3" s="1"/>
  <c r="P21" i="3"/>
  <c r="Q21" i="3" s="1"/>
  <c r="P20" i="3"/>
  <c r="Q20" i="3" s="1"/>
  <c r="P19" i="3"/>
  <c r="Q19" i="3" s="1"/>
  <c r="P18" i="3"/>
  <c r="Q18" i="3" s="1"/>
  <c r="P17" i="3"/>
  <c r="Q17" i="3" s="1"/>
  <c r="P16" i="3"/>
  <c r="Q16" i="3" s="1"/>
  <c r="P15" i="3"/>
  <c r="Q15" i="3" s="1"/>
  <c r="P14" i="3"/>
  <c r="Q14" i="3" s="1"/>
  <c r="P13" i="3"/>
  <c r="Q13" i="3" s="1"/>
  <c r="P12" i="3"/>
  <c r="Q12" i="3" s="1"/>
  <c r="P11" i="3"/>
  <c r="Q11" i="3" s="1"/>
  <c r="P10" i="3"/>
  <c r="Q10" i="3" s="1"/>
  <c r="P9" i="3"/>
  <c r="Q9" i="3" s="1"/>
  <c r="P8" i="3"/>
  <c r="Q8" i="3" s="1"/>
  <c r="P7" i="3"/>
  <c r="Q7" i="3" s="1"/>
  <c r="P6" i="3"/>
  <c r="Q6" i="3" s="1"/>
  <c r="P5" i="3"/>
  <c r="Q5" i="3" s="1"/>
  <c r="P4" i="3"/>
  <c r="Q4" i="3" s="1"/>
  <c r="P3" i="3"/>
  <c r="R3" i="3" s="1"/>
  <c r="O60" i="3"/>
  <c r="M60" i="3" s="1"/>
  <c r="F60" i="3" s="1"/>
  <c r="O59" i="3"/>
  <c r="M59" i="3" s="1"/>
  <c r="F59" i="3" s="1"/>
  <c r="O58" i="3"/>
  <c r="O57" i="3"/>
  <c r="M57" i="3" s="1"/>
  <c r="F57" i="3" s="1"/>
  <c r="O56" i="3"/>
  <c r="O55" i="3"/>
  <c r="M55" i="3" s="1"/>
  <c r="F55" i="3" s="1"/>
  <c r="O54" i="3"/>
  <c r="M54" i="3" s="1"/>
  <c r="F54" i="3" s="1"/>
  <c r="O53" i="3"/>
  <c r="M53" i="3" s="1"/>
  <c r="F53" i="3" s="1"/>
  <c r="O52" i="3"/>
  <c r="M52" i="3" s="1"/>
  <c r="F52" i="3" s="1"/>
  <c r="O51" i="3"/>
  <c r="O50" i="3"/>
  <c r="O49" i="3"/>
  <c r="O48" i="3"/>
  <c r="M48" i="3" s="1"/>
  <c r="F48" i="3" s="1"/>
  <c r="O47" i="3"/>
  <c r="O46" i="3"/>
  <c r="M46" i="3" s="1"/>
  <c r="F46" i="3" s="1"/>
  <c r="O45" i="3"/>
  <c r="M45" i="3" s="1"/>
  <c r="F45" i="3" s="1"/>
  <c r="O44" i="3"/>
  <c r="O43" i="3"/>
  <c r="M43" i="3" s="1"/>
  <c r="F43" i="3" s="1"/>
  <c r="O42" i="3"/>
  <c r="M42" i="3" s="1"/>
  <c r="F42" i="3" s="1"/>
  <c r="O41" i="3"/>
  <c r="M41" i="3" s="1"/>
  <c r="F41" i="3" s="1"/>
  <c r="O40" i="3"/>
  <c r="O39" i="3"/>
  <c r="O38" i="3"/>
  <c r="O37" i="3"/>
  <c r="O36" i="3"/>
  <c r="O35" i="3"/>
  <c r="O34" i="3"/>
  <c r="O33" i="3"/>
  <c r="O32" i="3"/>
  <c r="O31" i="3"/>
  <c r="M31" i="3" s="1"/>
  <c r="F31" i="3" s="1"/>
  <c r="O30" i="3"/>
  <c r="M30" i="3" s="1"/>
  <c r="F30" i="3" s="1"/>
  <c r="O29" i="3"/>
  <c r="M29" i="3" s="1"/>
  <c r="F29" i="3" s="1"/>
  <c r="O28" i="3"/>
  <c r="O27" i="3"/>
  <c r="O26" i="3"/>
  <c r="O25" i="3"/>
  <c r="O24" i="3"/>
  <c r="M24" i="3" s="1"/>
  <c r="F24" i="3" s="1"/>
  <c r="O23" i="3"/>
  <c r="M23" i="3" s="1"/>
  <c r="F23" i="3" s="1"/>
  <c r="O22" i="3"/>
  <c r="O21" i="3"/>
  <c r="O20" i="3"/>
  <c r="O19" i="3"/>
  <c r="O18" i="3"/>
  <c r="M18" i="3" s="1"/>
  <c r="F18" i="3" s="1"/>
  <c r="O17" i="3"/>
  <c r="M17" i="3" s="1"/>
  <c r="F17" i="3" s="1"/>
  <c r="O16" i="3"/>
  <c r="M16" i="3" s="1"/>
  <c r="F16" i="3" s="1"/>
  <c r="O15" i="3"/>
  <c r="O14" i="3"/>
  <c r="O13" i="3"/>
  <c r="O12" i="3"/>
  <c r="O11" i="3"/>
  <c r="M11" i="3" s="1"/>
  <c r="F11" i="3" s="1"/>
  <c r="O10" i="3"/>
  <c r="O9" i="3"/>
  <c r="M9" i="3" s="1"/>
  <c r="F9" i="3" s="1"/>
  <c r="O8" i="3"/>
  <c r="O7" i="3"/>
  <c r="M7" i="3" s="1"/>
  <c r="F7" i="3" s="1"/>
  <c r="O6" i="3"/>
  <c r="M6" i="3" s="1"/>
  <c r="F6" i="3" s="1"/>
  <c r="O5" i="3"/>
  <c r="M5" i="3" s="1"/>
  <c r="F5" i="3" s="1"/>
  <c r="O4" i="3"/>
  <c r="M4" i="3" s="1"/>
  <c r="F4" i="3" s="1"/>
  <c r="N101" i="7"/>
  <c r="N100" i="7"/>
  <c r="N99" i="7"/>
  <c r="N98" i="7"/>
  <c r="N97" i="7"/>
  <c r="N96" i="7"/>
  <c r="N95" i="7"/>
  <c r="N94" i="7"/>
  <c r="N93" i="7"/>
  <c r="N92" i="7"/>
  <c r="N91" i="7"/>
  <c r="N90" i="7"/>
  <c r="N89" i="7"/>
  <c r="N88" i="7"/>
  <c r="N87" i="7"/>
  <c r="N86" i="7"/>
  <c r="N85" i="7"/>
  <c r="N84" i="7"/>
  <c r="N83" i="7"/>
  <c r="N82" i="7"/>
  <c r="N81" i="7"/>
  <c r="N80" i="7"/>
  <c r="N79" i="7"/>
  <c r="N78" i="7"/>
  <c r="N77" i="7"/>
  <c r="N76" i="7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T62" i="7" s="1"/>
  <c r="N61" i="7"/>
  <c r="N60" i="7"/>
  <c r="N59" i="7"/>
  <c r="N58" i="7"/>
  <c r="N57" i="7"/>
  <c r="N56" i="7"/>
  <c r="AB56" i="7" s="1"/>
  <c r="N55" i="7"/>
  <c r="T55" i="7" s="1"/>
  <c r="N54" i="7"/>
  <c r="AC54" i="7" s="1"/>
  <c r="N53" i="7"/>
  <c r="N52" i="7"/>
  <c r="N51" i="7"/>
  <c r="N50" i="7"/>
  <c r="U50" i="7" s="1"/>
  <c r="N49" i="7"/>
  <c r="X49" i="7" s="1"/>
  <c r="N48" i="7"/>
  <c r="AC48" i="7" s="1"/>
  <c r="N47" i="7"/>
  <c r="N46" i="7"/>
  <c r="N45" i="7"/>
  <c r="N44" i="7"/>
  <c r="S44" i="7" s="1"/>
  <c r="N43" i="7"/>
  <c r="Y43" i="7" s="1"/>
  <c r="N42" i="7"/>
  <c r="Y42" i="7" s="1"/>
  <c r="N41" i="7"/>
  <c r="N40" i="7"/>
  <c r="N39" i="7"/>
  <c r="N38" i="7"/>
  <c r="Y38" i="7" s="1"/>
  <c r="N37" i="7"/>
  <c r="N36" i="7"/>
  <c r="X36" i="7" s="1"/>
  <c r="N35" i="7"/>
  <c r="N34" i="7"/>
  <c r="N33" i="7"/>
  <c r="N32" i="7"/>
  <c r="U32" i="7" s="1"/>
  <c r="N31" i="7"/>
  <c r="U31" i="7" s="1"/>
  <c r="N30" i="7"/>
  <c r="V30" i="7" s="1"/>
  <c r="N29" i="7"/>
  <c r="N28" i="7"/>
  <c r="N27" i="7"/>
  <c r="N26" i="7"/>
  <c r="AB26" i="7" s="1"/>
  <c r="N25" i="7"/>
  <c r="V25" i="7" s="1"/>
  <c r="N24" i="7"/>
  <c r="T24" i="7" s="1"/>
  <c r="N23" i="7"/>
  <c r="N22" i="7"/>
  <c r="N21" i="7"/>
  <c r="N20" i="7"/>
  <c r="X20" i="7" s="1"/>
  <c r="N19" i="7"/>
  <c r="AA19" i="7" s="1"/>
  <c r="N18" i="7"/>
  <c r="S18" i="7" s="1"/>
  <c r="N17" i="7"/>
  <c r="N16" i="7"/>
  <c r="N15" i="7"/>
  <c r="N14" i="7"/>
  <c r="T14" i="7" s="1"/>
  <c r="N13" i="7"/>
  <c r="N12" i="7"/>
  <c r="AB12" i="7" s="1"/>
  <c r="N11" i="7"/>
  <c r="Z11" i="7" s="1"/>
  <c r="N10" i="7"/>
  <c r="N9" i="7"/>
  <c r="Z9" i="7" s="1"/>
  <c r="N8" i="7"/>
  <c r="AA8" i="7" s="1"/>
  <c r="N7" i="7"/>
  <c r="T7" i="7" s="1"/>
  <c r="N6" i="7"/>
  <c r="AB6" i="7" s="1"/>
  <c r="N5" i="7"/>
  <c r="N4" i="7"/>
  <c r="N3" i="7"/>
  <c r="D105" i="8"/>
  <c r="A63" i="8"/>
  <c r="W63" i="8" s="1"/>
  <c r="AN101" i="7"/>
  <c r="AM101" i="7"/>
  <c r="AL101" i="7"/>
  <c r="AK101" i="7"/>
  <c r="AJ101" i="7"/>
  <c r="AI101" i="7"/>
  <c r="AH101" i="7"/>
  <c r="AL63" i="7" s="1"/>
  <c r="AG101" i="7"/>
  <c r="AF101" i="7"/>
  <c r="AE101" i="7"/>
  <c r="AD101" i="7"/>
  <c r="R101" i="7"/>
  <c r="Q101" i="7"/>
  <c r="P101" i="7"/>
  <c r="O101" i="7"/>
  <c r="AN63" i="7" s="1"/>
  <c r="AN100" i="7"/>
  <c r="AM100" i="7"/>
  <c r="AL100" i="7"/>
  <c r="AK100" i="7"/>
  <c r="AJ100" i="7"/>
  <c r="AI100" i="7"/>
  <c r="AH100" i="7"/>
  <c r="AG100" i="7"/>
  <c r="AF100" i="7"/>
  <c r="AE100" i="7"/>
  <c r="AD100" i="7"/>
  <c r="R100" i="7"/>
  <c r="Q100" i="7"/>
  <c r="P100" i="7"/>
  <c r="O100" i="7"/>
  <c r="AN99" i="7"/>
  <c r="AM99" i="7"/>
  <c r="AL99" i="7"/>
  <c r="AK99" i="7"/>
  <c r="AJ99" i="7"/>
  <c r="AI99" i="7"/>
  <c r="AH99" i="7"/>
  <c r="AG99" i="7"/>
  <c r="AF99" i="7"/>
  <c r="AE99" i="7"/>
  <c r="AD99" i="7"/>
  <c r="R99" i="7"/>
  <c r="Q99" i="7"/>
  <c r="P99" i="7"/>
  <c r="O99" i="7"/>
  <c r="AN98" i="7"/>
  <c r="AM98" i="7"/>
  <c r="AL98" i="7"/>
  <c r="AK98" i="7"/>
  <c r="AJ98" i="7"/>
  <c r="AI98" i="7"/>
  <c r="AH98" i="7"/>
  <c r="AG98" i="7"/>
  <c r="AF98" i="7"/>
  <c r="AE98" i="7"/>
  <c r="AD98" i="7"/>
  <c r="R98" i="7"/>
  <c r="Q98" i="7"/>
  <c r="P98" i="7"/>
  <c r="O98" i="7"/>
  <c r="AN97" i="7"/>
  <c r="AM97" i="7"/>
  <c r="AL97" i="7"/>
  <c r="AK97" i="7"/>
  <c r="AJ97" i="7"/>
  <c r="AI97" i="7"/>
  <c r="AH97" i="7"/>
  <c r="AG97" i="7"/>
  <c r="AF97" i="7"/>
  <c r="AE97" i="7"/>
  <c r="AD97" i="7"/>
  <c r="R97" i="7"/>
  <c r="Q97" i="7"/>
  <c r="P97" i="7"/>
  <c r="O97" i="7"/>
  <c r="AN96" i="7"/>
  <c r="AM96" i="7"/>
  <c r="AL96" i="7"/>
  <c r="AK96" i="7"/>
  <c r="AJ96" i="7"/>
  <c r="AI96" i="7"/>
  <c r="AH96" i="7"/>
  <c r="AG96" i="7"/>
  <c r="AF96" i="7"/>
  <c r="AE96" i="7"/>
  <c r="AD96" i="7"/>
  <c r="R96" i="7"/>
  <c r="Q96" i="7"/>
  <c r="P96" i="7"/>
  <c r="O96" i="7"/>
  <c r="AN95" i="7"/>
  <c r="AM95" i="7"/>
  <c r="AL95" i="7"/>
  <c r="AK95" i="7"/>
  <c r="AJ95" i="7"/>
  <c r="AI95" i="7"/>
  <c r="AH95" i="7"/>
  <c r="AG95" i="7"/>
  <c r="AF95" i="7"/>
  <c r="AE95" i="7"/>
  <c r="AD95" i="7"/>
  <c r="R95" i="7"/>
  <c r="Q95" i="7"/>
  <c r="P95" i="7"/>
  <c r="O95" i="7"/>
  <c r="AN94" i="7"/>
  <c r="AM94" i="7"/>
  <c r="AL94" i="7"/>
  <c r="AK94" i="7"/>
  <c r="AJ94" i="7"/>
  <c r="AI94" i="7"/>
  <c r="AH94" i="7"/>
  <c r="AG94" i="7"/>
  <c r="AF94" i="7"/>
  <c r="AE94" i="7"/>
  <c r="AD94" i="7"/>
  <c r="R94" i="7"/>
  <c r="Q94" i="7"/>
  <c r="P94" i="7"/>
  <c r="O94" i="7"/>
  <c r="AN93" i="7"/>
  <c r="AM93" i="7"/>
  <c r="AL93" i="7"/>
  <c r="AK93" i="7"/>
  <c r="AJ93" i="7"/>
  <c r="AI93" i="7"/>
  <c r="AH93" i="7"/>
  <c r="AG93" i="7"/>
  <c r="AF93" i="7"/>
  <c r="AE93" i="7"/>
  <c r="AD93" i="7"/>
  <c r="R93" i="7"/>
  <c r="Q93" i="7"/>
  <c r="P93" i="7"/>
  <c r="O93" i="7"/>
  <c r="AN92" i="7"/>
  <c r="AM92" i="7"/>
  <c r="AL92" i="7"/>
  <c r="AK92" i="7"/>
  <c r="AJ92" i="7"/>
  <c r="AI92" i="7"/>
  <c r="AH92" i="7"/>
  <c r="AG92" i="7"/>
  <c r="AF92" i="7"/>
  <c r="AE92" i="7"/>
  <c r="AD92" i="7"/>
  <c r="R92" i="7"/>
  <c r="Q92" i="7"/>
  <c r="P92" i="7"/>
  <c r="O92" i="7"/>
  <c r="AN91" i="7"/>
  <c r="AM91" i="7"/>
  <c r="AL91" i="7"/>
  <c r="AK91" i="7"/>
  <c r="AJ91" i="7"/>
  <c r="AI91" i="7"/>
  <c r="AH91" i="7"/>
  <c r="AG91" i="7"/>
  <c r="AF91" i="7"/>
  <c r="AE91" i="7"/>
  <c r="AD91" i="7"/>
  <c r="R91" i="7"/>
  <c r="Q91" i="7"/>
  <c r="P91" i="7"/>
  <c r="O91" i="7"/>
  <c r="AN90" i="7"/>
  <c r="AM90" i="7"/>
  <c r="AL90" i="7"/>
  <c r="AK90" i="7"/>
  <c r="AJ90" i="7"/>
  <c r="AI90" i="7"/>
  <c r="AH90" i="7"/>
  <c r="AG90" i="7"/>
  <c r="AF90" i="7"/>
  <c r="AE90" i="7"/>
  <c r="AD90" i="7"/>
  <c r="R90" i="7"/>
  <c r="Q90" i="7"/>
  <c r="P90" i="7"/>
  <c r="O90" i="7"/>
  <c r="AN89" i="7"/>
  <c r="AM89" i="7"/>
  <c r="AL89" i="7"/>
  <c r="AK89" i="7"/>
  <c r="AJ89" i="7"/>
  <c r="AI89" i="7"/>
  <c r="AH89" i="7"/>
  <c r="AG89" i="7"/>
  <c r="AF89" i="7"/>
  <c r="AE89" i="7"/>
  <c r="AD89" i="7"/>
  <c r="R89" i="7"/>
  <c r="Q89" i="7"/>
  <c r="P89" i="7"/>
  <c r="O89" i="7"/>
  <c r="AN88" i="7"/>
  <c r="AM88" i="7"/>
  <c r="AL88" i="7"/>
  <c r="AK88" i="7"/>
  <c r="AJ88" i="7"/>
  <c r="AI88" i="7"/>
  <c r="AH88" i="7"/>
  <c r="AG88" i="7"/>
  <c r="AF88" i="7"/>
  <c r="AE88" i="7"/>
  <c r="AD88" i="7"/>
  <c r="R88" i="7"/>
  <c r="Q88" i="7"/>
  <c r="P88" i="7"/>
  <c r="O88" i="7"/>
  <c r="AN87" i="7"/>
  <c r="AM87" i="7"/>
  <c r="AL87" i="7"/>
  <c r="AK87" i="7"/>
  <c r="AJ87" i="7"/>
  <c r="AI87" i="7"/>
  <c r="AH87" i="7"/>
  <c r="AG87" i="7"/>
  <c r="AF87" i="7"/>
  <c r="AE87" i="7"/>
  <c r="AD87" i="7"/>
  <c r="R87" i="7"/>
  <c r="Q87" i="7"/>
  <c r="P87" i="7"/>
  <c r="O87" i="7"/>
  <c r="AN86" i="7"/>
  <c r="AM86" i="7"/>
  <c r="AL86" i="7"/>
  <c r="AK86" i="7"/>
  <c r="AJ86" i="7"/>
  <c r="AI86" i="7"/>
  <c r="AH86" i="7"/>
  <c r="AG86" i="7"/>
  <c r="AF86" i="7"/>
  <c r="AE86" i="7"/>
  <c r="AD86" i="7"/>
  <c r="R86" i="7"/>
  <c r="Q86" i="7"/>
  <c r="P86" i="7"/>
  <c r="O86" i="7"/>
  <c r="AN85" i="7"/>
  <c r="AM85" i="7"/>
  <c r="AL85" i="7"/>
  <c r="AK85" i="7"/>
  <c r="AJ85" i="7"/>
  <c r="AI85" i="7"/>
  <c r="AH85" i="7"/>
  <c r="AG85" i="7"/>
  <c r="AF85" i="7"/>
  <c r="AE85" i="7"/>
  <c r="AD85" i="7"/>
  <c r="R85" i="7"/>
  <c r="Q85" i="7"/>
  <c r="P85" i="7"/>
  <c r="O85" i="7"/>
  <c r="AN84" i="7"/>
  <c r="AM84" i="7"/>
  <c r="AL84" i="7"/>
  <c r="AK84" i="7"/>
  <c r="AJ84" i="7"/>
  <c r="AI84" i="7"/>
  <c r="AH84" i="7"/>
  <c r="AG84" i="7"/>
  <c r="AF84" i="7"/>
  <c r="AE84" i="7"/>
  <c r="AD84" i="7"/>
  <c r="R84" i="7"/>
  <c r="Q84" i="7"/>
  <c r="P84" i="7"/>
  <c r="O84" i="7"/>
  <c r="AN83" i="7"/>
  <c r="AM83" i="7"/>
  <c r="AL83" i="7"/>
  <c r="AK83" i="7"/>
  <c r="AJ83" i="7"/>
  <c r="AI83" i="7"/>
  <c r="AH83" i="7"/>
  <c r="AG83" i="7"/>
  <c r="AF83" i="7"/>
  <c r="AE83" i="7"/>
  <c r="AD83" i="7"/>
  <c r="R83" i="7"/>
  <c r="Q83" i="7"/>
  <c r="P83" i="7"/>
  <c r="O83" i="7"/>
  <c r="AN82" i="7"/>
  <c r="AM82" i="7"/>
  <c r="AL82" i="7"/>
  <c r="AK82" i="7"/>
  <c r="AJ82" i="7"/>
  <c r="AI82" i="7"/>
  <c r="AH82" i="7"/>
  <c r="AG82" i="7"/>
  <c r="AF82" i="7"/>
  <c r="AE82" i="7"/>
  <c r="AD82" i="7"/>
  <c r="R82" i="7"/>
  <c r="Q82" i="7"/>
  <c r="P82" i="7"/>
  <c r="O82" i="7"/>
  <c r="AN81" i="7"/>
  <c r="AM81" i="7"/>
  <c r="AL81" i="7"/>
  <c r="AK81" i="7"/>
  <c r="AJ81" i="7"/>
  <c r="AI81" i="7"/>
  <c r="AH81" i="7"/>
  <c r="AG81" i="7"/>
  <c r="AF81" i="7"/>
  <c r="AE81" i="7"/>
  <c r="AD81" i="7"/>
  <c r="R81" i="7"/>
  <c r="Q81" i="7"/>
  <c r="P81" i="7"/>
  <c r="O81" i="7"/>
  <c r="AN80" i="7"/>
  <c r="AM80" i="7"/>
  <c r="AL80" i="7"/>
  <c r="AK80" i="7"/>
  <c r="AJ80" i="7"/>
  <c r="AI80" i="7"/>
  <c r="AH80" i="7"/>
  <c r="AG80" i="7"/>
  <c r="AF80" i="7"/>
  <c r="AE80" i="7"/>
  <c r="AD80" i="7"/>
  <c r="R80" i="7"/>
  <c r="Q80" i="7"/>
  <c r="P80" i="7"/>
  <c r="O80" i="7"/>
  <c r="AN79" i="7"/>
  <c r="AM79" i="7"/>
  <c r="AL79" i="7"/>
  <c r="AK79" i="7"/>
  <c r="AJ79" i="7"/>
  <c r="AI79" i="7"/>
  <c r="AH79" i="7"/>
  <c r="AG79" i="7"/>
  <c r="AF79" i="7"/>
  <c r="AE79" i="7"/>
  <c r="AD79" i="7"/>
  <c r="R79" i="7"/>
  <c r="Q79" i="7"/>
  <c r="P79" i="7"/>
  <c r="O79" i="7"/>
  <c r="AN78" i="7"/>
  <c r="AM78" i="7"/>
  <c r="AL78" i="7"/>
  <c r="AK78" i="7"/>
  <c r="AJ78" i="7"/>
  <c r="AI78" i="7"/>
  <c r="AH78" i="7"/>
  <c r="AG78" i="7"/>
  <c r="AF78" i="7"/>
  <c r="AE78" i="7"/>
  <c r="AD78" i="7"/>
  <c r="R78" i="7"/>
  <c r="Q78" i="7"/>
  <c r="P78" i="7"/>
  <c r="O78" i="7"/>
  <c r="AN77" i="7"/>
  <c r="AM77" i="7"/>
  <c r="AL77" i="7"/>
  <c r="AK77" i="7"/>
  <c r="AJ77" i="7"/>
  <c r="AI77" i="7"/>
  <c r="AH77" i="7"/>
  <c r="AG77" i="7"/>
  <c r="AF77" i="7"/>
  <c r="AE77" i="7"/>
  <c r="AD77" i="7"/>
  <c r="R77" i="7"/>
  <c r="Q77" i="7"/>
  <c r="P77" i="7"/>
  <c r="O77" i="7"/>
  <c r="AN76" i="7"/>
  <c r="AM76" i="7"/>
  <c r="AL76" i="7"/>
  <c r="AK76" i="7"/>
  <c r="AJ76" i="7"/>
  <c r="AI76" i="7"/>
  <c r="AH76" i="7"/>
  <c r="AG76" i="7"/>
  <c r="AF76" i="7"/>
  <c r="AE76" i="7"/>
  <c r="AD76" i="7"/>
  <c r="R76" i="7"/>
  <c r="Q76" i="7"/>
  <c r="P76" i="7"/>
  <c r="O76" i="7"/>
  <c r="AN75" i="7"/>
  <c r="AM75" i="7"/>
  <c r="AL75" i="7"/>
  <c r="AK75" i="7"/>
  <c r="AJ75" i="7"/>
  <c r="AI75" i="7"/>
  <c r="AH75" i="7"/>
  <c r="AG75" i="7"/>
  <c r="AF75" i="7"/>
  <c r="AE75" i="7"/>
  <c r="AD75" i="7"/>
  <c r="R75" i="7"/>
  <c r="Q75" i="7"/>
  <c r="P75" i="7"/>
  <c r="O75" i="7"/>
  <c r="AN74" i="7"/>
  <c r="AM74" i="7"/>
  <c r="AL74" i="7"/>
  <c r="AK74" i="7"/>
  <c r="AJ74" i="7"/>
  <c r="AI74" i="7"/>
  <c r="AH74" i="7"/>
  <c r="AG74" i="7"/>
  <c r="AF74" i="7"/>
  <c r="AE74" i="7"/>
  <c r="AD74" i="7"/>
  <c r="R74" i="7"/>
  <c r="Q74" i="7"/>
  <c r="P74" i="7"/>
  <c r="O74" i="7"/>
  <c r="AN73" i="7"/>
  <c r="AM73" i="7"/>
  <c r="AL73" i="7"/>
  <c r="AK73" i="7"/>
  <c r="AJ73" i="7"/>
  <c r="AI73" i="7"/>
  <c r="AH73" i="7"/>
  <c r="AG73" i="7"/>
  <c r="AF73" i="7"/>
  <c r="AE73" i="7"/>
  <c r="AD73" i="7"/>
  <c r="R73" i="7"/>
  <c r="Q73" i="7"/>
  <c r="P73" i="7"/>
  <c r="O73" i="7"/>
  <c r="AN72" i="7"/>
  <c r="AM72" i="7"/>
  <c r="AL72" i="7"/>
  <c r="AK72" i="7"/>
  <c r="AJ72" i="7"/>
  <c r="AI72" i="7"/>
  <c r="AH72" i="7"/>
  <c r="AG72" i="7"/>
  <c r="AF72" i="7"/>
  <c r="AE72" i="7"/>
  <c r="AD72" i="7"/>
  <c r="R72" i="7"/>
  <c r="Q72" i="7"/>
  <c r="P72" i="7"/>
  <c r="O72" i="7"/>
  <c r="AN71" i="7"/>
  <c r="AM71" i="7"/>
  <c r="AL71" i="7"/>
  <c r="AK71" i="7"/>
  <c r="AJ71" i="7"/>
  <c r="AI71" i="7"/>
  <c r="AH71" i="7"/>
  <c r="AG71" i="7"/>
  <c r="AF71" i="7"/>
  <c r="AE71" i="7"/>
  <c r="AD71" i="7"/>
  <c r="R71" i="7"/>
  <c r="Q71" i="7"/>
  <c r="P71" i="7"/>
  <c r="O71" i="7"/>
  <c r="AN70" i="7"/>
  <c r="AM70" i="7"/>
  <c r="AL70" i="7"/>
  <c r="AK70" i="7"/>
  <c r="AJ70" i="7"/>
  <c r="AI70" i="7"/>
  <c r="AH70" i="7"/>
  <c r="AG70" i="7"/>
  <c r="AF70" i="7"/>
  <c r="AE70" i="7"/>
  <c r="AD70" i="7"/>
  <c r="R70" i="7"/>
  <c r="Q70" i="7"/>
  <c r="P70" i="7"/>
  <c r="O70" i="7"/>
  <c r="AN69" i="7"/>
  <c r="AM69" i="7"/>
  <c r="AL69" i="7"/>
  <c r="AK69" i="7"/>
  <c r="AJ69" i="7"/>
  <c r="AI69" i="7"/>
  <c r="AH69" i="7"/>
  <c r="AG69" i="7"/>
  <c r="AF69" i="7"/>
  <c r="AE69" i="7"/>
  <c r="AD69" i="7"/>
  <c r="R69" i="7"/>
  <c r="Q69" i="7"/>
  <c r="P69" i="7"/>
  <c r="O69" i="7"/>
  <c r="AN68" i="7"/>
  <c r="AM68" i="7"/>
  <c r="AL68" i="7"/>
  <c r="AK68" i="7"/>
  <c r="AJ68" i="7"/>
  <c r="AI68" i="7"/>
  <c r="AH68" i="7"/>
  <c r="AG68" i="7"/>
  <c r="AF68" i="7"/>
  <c r="AE68" i="7"/>
  <c r="AD68" i="7"/>
  <c r="R68" i="7"/>
  <c r="Q68" i="7"/>
  <c r="P68" i="7"/>
  <c r="O68" i="7"/>
  <c r="AN67" i="7"/>
  <c r="AM67" i="7"/>
  <c r="AL67" i="7"/>
  <c r="AK67" i="7"/>
  <c r="AJ67" i="7"/>
  <c r="AI67" i="7"/>
  <c r="AH67" i="7"/>
  <c r="AG67" i="7"/>
  <c r="AF67" i="7"/>
  <c r="AE67" i="7"/>
  <c r="AD67" i="7"/>
  <c r="R67" i="7"/>
  <c r="Q67" i="7"/>
  <c r="P67" i="7"/>
  <c r="O67" i="7"/>
  <c r="AN66" i="7"/>
  <c r="AM66" i="7"/>
  <c r="AL66" i="7"/>
  <c r="AK66" i="7"/>
  <c r="AJ66" i="7"/>
  <c r="AI66" i="7"/>
  <c r="AH66" i="7"/>
  <c r="AG66" i="7"/>
  <c r="AF66" i="7"/>
  <c r="AE66" i="7"/>
  <c r="AD66" i="7"/>
  <c r="R66" i="7"/>
  <c r="Q66" i="7"/>
  <c r="P66" i="7"/>
  <c r="O66" i="7"/>
  <c r="AN65" i="7"/>
  <c r="AM65" i="7"/>
  <c r="AL65" i="7"/>
  <c r="AK65" i="7"/>
  <c r="AJ65" i="7"/>
  <c r="AI65" i="7"/>
  <c r="AH65" i="7"/>
  <c r="AG65" i="7"/>
  <c r="AF65" i="7"/>
  <c r="AE65" i="7"/>
  <c r="AD65" i="7"/>
  <c r="R65" i="7"/>
  <c r="Q65" i="7"/>
  <c r="P65" i="7"/>
  <c r="O65" i="7"/>
  <c r="AN64" i="7"/>
  <c r="AM64" i="7"/>
  <c r="AL64" i="7"/>
  <c r="AK64" i="7"/>
  <c r="AJ64" i="7"/>
  <c r="AI64" i="7"/>
  <c r="AH64" i="7"/>
  <c r="AG64" i="7"/>
  <c r="AF64" i="7"/>
  <c r="AE64" i="7"/>
  <c r="AD64" i="7"/>
  <c r="R64" i="7"/>
  <c r="Q64" i="7"/>
  <c r="P64" i="7"/>
  <c r="O64" i="7"/>
  <c r="AC64" i="7"/>
  <c r="AA101" i="7"/>
  <c r="AC100" i="7"/>
  <c r="S99" i="7"/>
  <c r="U98" i="7"/>
  <c r="W97" i="7"/>
  <c r="Y96" i="7"/>
  <c r="AA95" i="7"/>
  <c r="AC94" i="7"/>
  <c r="S93" i="7"/>
  <c r="U92" i="7"/>
  <c r="W91" i="7"/>
  <c r="Y90" i="7"/>
  <c r="AA89" i="7"/>
  <c r="AC88" i="7"/>
  <c r="S87" i="7"/>
  <c r="U86" i="7"/>
  <c r="W85" i="7"/>
  <c r="Y84" i="7"/>
  <c r="AA83" i="7"/>
  <c r="AC82" i="7"/>
  <c r="S81" i="7"/>
  <c r="U80" i="7"/>
  <c r="W79" i="7"/>
  <c r="Y78" i="7"/>
  <c r="AA77" i="7"/>
  <c r="AC76" i="7"/>
  <c r="S75" i="7"/>
  <c r="U74" i="7"/>
  <c r="W73" i="7"/>
  <c r="Y72" i="7"/>
  <c r="AA71" i="7"/>
  <c r="AC70" i="7"/>
  <c r="S69" i="7"/>
  <c r="U68" i="7"/>
  <c r="W67" i="7"/>
  <c r="Y66" i="7"/>
  <c r="AA65" i="7"/>
  <c r="U63" i="7"/>
  <c r="V59" i="7"/>
  <c r="AA53" i="7"/>
  <c r="Y52" i="7"/>
  <c r="U51" i="7"/>
  <c r="AB47" i="7"/>
  <c r="W41" i="7"/>
  <c r="Z40" i="7"/>
  <c r="Y39" i="7"/>
  <c r="X35" i="7"/>
  <c r="W29" i="7"/>
  <c r="AC28" i="7"/>
  <c r="AC27" i="7"/>
  <c r="AA23" i="7"/>
  <c r="V21" i="7"/>
  <c r="AC17" i="7"/>
  <c r="Y16" i="7"/>
  <c r="U15" i="7"/>
  <c r="X5" i="7"/>
  <c r="Z3" i="7"/>
  <c r="Z57" i="7"/>
  <c r="AB45" i="7"/>
  <c r="S33" i="7"/>
  <c r="T4" i="7"/>
  <c r="AH63" i="7"/>
  <c r="AG63" i="7"/>
  <c r="AF63" i="7"/>
  <c r="AE63" i="7"/>
  <c r="AD63" i="7"/>
  <c r="R63" i="7"/>
  <c r="Q63" i="7"/>
  <c r="P63" i="7"/>
  <c r="O63" i="7"/>
  <c r="AH62" i="7"/>
  <c r="AL62" i="7" s="1"/>
  <c r="AG62" i="7"/>
  <c r="AF62" i="7"/>
  <c r="AE62" i="7"/>
  <c r="AD62" i="7"/>
  <c r="R62" i="7"/>
  <c r="Q62" i="7"/>
  <c r="P62" i="7"/>
  <c r="O62" i="7"/>
  <c r="AH61" i="7"/>
  <c r="AL61" i="7" s="1"/>
  <c r="AG61" i="7"/>
  <c r="AF61" i="7"/>
  <c r="AE61" i="7"/>
  <c r="AD61" i="7"/>
  <c r="AC61" i="7"/>
  <c r="AA61" i="7"/>
  <c r="Y61" i="7"/>
  <c r="R61" i="7"/>
  <c r="Q61" i="7"/>
  <c r="P61" i="7"/>
  <c r="O61" i="7"/>
  <c r="AK61" i="7" s="1"/>
  <c r="AH60" i="7"/>
  <c r="AL60" i="7" s="1"/>
  <c r="AG60" i="7"/>
  <c r="AF60" i="7"/>
  <c r="AE60" i="7"/>
  <c r="AD60" i="7"/>
  <c r="R60" i="7"/>
  <c r="Q60" i="7"/>
  <c r="P60" i="7"/>
  <c r="O60" i="7"/>
  <c r="AH59" i="7"/>
  <c r="AL59" i="7" s="1"/>
  <c r="AG59" i="7"/>
  <c r="AF59" i="7"/>
  <c r="AE59" i="7"/>
  <c r="AD59" i="7"/>
  <c r="R59" i="7"/>
  <c r="Q59" i="7"/>
  <c r="P59" i="7"/>
  <c r="O59" i="7"/>
  <c r="AI59" i="7" s="1"/>
  <c r="AH58" i="7"/>
  <c r="AL58" i="7" s="1"/>
  <c r="AG58" i="7"/>
  <c r="AF58" i="7"/>
  <c r="AE58" i="7"/>
  <c r="AD58" i="7"/>
  <c r="AC58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AK58" i="7" s="1"/>
  <c r="AH57" i="7"/>
  <c r="AL57" i="7" s="1"/>
  <c r="AG57" i="7"/>
  <c r="AF57" i="7"/>
  <c r="AE57" i="7"/>
  <c r="AD57" i="7"/>
  <c r="R57" i="7"/>
  <c r="Q57" i="7"/>
  <c r="P57" i="7"/>
  <c r="O57" i="7"/>
  <c r="AH56" i="7"/>
  <c r="AL56" i="7" s="1"/>
  <c r="AG56" i="7"/>
  <c r="AF56" i="7"/>
  <c r="AE56" i="7"/>
  <c r="AD56" i="7"/>
  <c r="R56" i="7"/>
  <c r="Q56" i="7"/>
  <c r="P56" i="7"/>
  <c r="O56" i="7"/>
  <c r="AH55" i="7"/>
  <c r="AL55" i="7" s="1"/>
  <c r="AG55" i="7"/>
  <c r="AF55" i="7"/>
  <c r="AE55" i="7"/>
  <c r="AD55" i="7"/>
  <c r="R55" i="7"/>
  <c r="Q55" i="7"/>
  <c r="P55" i="7"/>
  <c r="O55" i="7"/>
  <c r="AK55" i="7" s="1"/>
  <c r="AH54" i="7"/>
  <c r="AL54" i="7" s="1"/>
  <c r="AG54" i="7"/>
  <c r="AF54" i="7"/>
  <c r="AE54" i="7"/>
  <c r="AD54" i="7"/>
  <c r="R54" i="7"/>
  <c r="Q54" i="7"/>
  <c r="P54" i="7"/>
  <c r="O54" i="7"/>
  <c r="AH53" i="7"/>
  <c r="AL53" i="7" s="1"/>
  <c r="AG53" i="7"/>
  <c r="AF53" i="7"/>
  <c r="AE53" i="7"/>
  <c r="AD53" i="7"/>
  <c r="R53" i="7"/>
  <c r="Q53" i="7"/>
  <c r="P53" i="7"/>
  <c r="O53" i="7"/>
  <c r="AK53" i="7" s="1"/>
  <c r="AH52" i="7"/>
  <c r="AL52" i="7" s="1"/>
  <c r="AG52" i="7"/>
  <c r="AF52" i="7"/>
  <c r="AE52" i="7"/>
  <c r="AD52" i="7"/>
  <c r="R52" i="7"/>
  <c r="Q52" i="7"/>
  <c r="P52" i="7"/>
  <c r="O52" i="7"/>
  <c r="AK52" i="7" s="1"/>
  <c r="AH51" i="7"/>
  <c r="AL51" i="7" s="1"/>
  <c r="AG51" i="7"/>
  <c r="AF51" i="7"/>
  <c r="AE51" i="7"/>
  <c r="AD51" i="7"/>
  <c r="R51" i="7"/>
  <c r="Q51" i="7"/>
  <c r="P51" i="7"/>
  <c r="O51" i="7"/>
  <c r="AJ51" i="7" s="1"/>
  <c r="AH50" i="7"/>
  <c r="AL50" i="7" s="1"/>
  <c r="AG50" i="7"/>
  <c r="AF50" i="7"/>
  <c r="AE50" i="7"/>
  <c r="AD50" i="7"/>
  <c r="R50" i="7"/>
  <c r="Q50" i="7"/>
  <c r="P50" i="7"/>
  <c r="O50" i="7"/>
  <c r="AJ50" i="7" s="1"/>
  <c r="AH49" i="7"/>
  <c r="AL49" i="7" s="1"/>
  <c r="AG49" i="7"/>
  <c r="AF49" i="7"/>
  <c r="AE49" i="7"/>
  <c r="AD49" i="7"/>
  <c r="R49" i="7"/>
  <c r="Q49" i="7"/>
  <c r="P49" i="7"/>
  <c r="O49" i="7"/>
  <c r="AK49" i="7" s="1"/>
  <c r="AH48" i="7"/>
  <c r="AL48" i="7" s="1"/>
  <c r="AG48" i="7"/>
  <c r="AF48" i="7"/>
  <c r="AE48" i="7"/>
  <c r="AD48" i="7"/>
  <c r="R48" i="7"/>
  <c r="Q48" i="7"/>
  <c r="P48" i="7"/>
  <c r="O48" i="7"/>
  <c r="AH47" i="7"/>
  <c r="AL47" i="7" s="1"/>
  <c r="AG47" i="7"/>
  <c r="AF47" i="7"/>
  <c r="AE47" i="7"/>
  <c r="AD47" i="7"/>
  <c r="R47" i="7"/>
  <c r="Q47" i="7"/>
  <c r="P47" i="7"/>
  <c r="O47" i="7"/>
  <c r="AH46" i="7"/>
  <c r="AL46" i="7" s="1"/>
  <c r="AG46" i="7"/>
  <c r="AF46" i="7"/>
  <c r="AE46" i="7"/>
  <c r="AD46" i="7"/>
  <c r="AC46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AK46" i="7" s="1"/>
  <c r="AH45" i="7"/>
  <c r="AL45" i="7" s="1"/>
  <c r="AG45" i="7"/>
  <c r="AF45" i="7"/>
  <c r="AE45" i="7"/>
  <c r="AD45" i="7"/>
  <c r="R45" i="7"/>
  <c r="Q45" i="7"/>
  <c r="P45" i="7"/>
  <c r="O45" i="7"/>
  <c r="AH44" i="7"/>
  <c r="AL44" i="7" s="1"/>
  <c r="AG44" i="7"/>
  <c r="AF44" i="7"/>
  <c r="AE44" i="7"/>
  <c r="AD44" i="7"/>
  <c r="R44" i="7"/>
  <c r="Q44" i="7"/>
  <c r="P44" i="7"/>
  <c r="O44" i="7"/>
  <c r="AK44" i="7" s="1"/>
  <c r="AH43" i="7"/>
  <c r="AL43" i="7" s="1"/>
  <c r="AG43" i="7"/>
  <c r="AF43" i="7"/>
  <c r="AE43" i="7"/>
  <c r="AD43" i="7"/>
  <c r="R43" i="7"/>
  <c r="Q43" i="7"/>
  <c r="P43" i="7"/>
  <c r="O43" i="7"/>
  <c r="AK43" i="7" s="1"/>
  <c r="AH42" i="7"/>
  <c r="AL42" i="7" s="1"/>
  <c r="AG42" i="7"/>
  <c r="AF42" i="7"/>
  <c r="AE42" i="7"/>
  <c r="AD42" i="7"/>
  <c r="R42" i="7"/>
  <c r="Q42" i="7"/>
  <c r="P42" i="7"/>
  <c r="O42" i="7"/>
  <c r="AJ42" i="7" s="1"/>
  <c r="AH41" i="7"/>
  <c r="AL41" i="7" s="1"/>
  <c r="AG41" i="7"/>
  <c r="AF41" i="7"/>
  <c r="AE41" i="7"/>
  <c r="AD41" i="7"/>
  <c r="R41" i="7"/>
  <c r="Q41" i="7"/>
  <c r="P41" i="7"/>
  <c r="O41" i="7"/>
  <c r="AI41" i="7" s="1"/>
  <c r="AH40" i="7"/>
  <c r="AL40" i="7" s="1"/>
  <c r="AG40" i="7"/>
  <c r="AF40" i="7"/>
  <c r="AE40" i="7"/>
  <c r="AD40" i="7"/>
  <c r="R40" i="7"/>
  <c r="Q40" i="7"/>
  <c r="P40" i="7"/>
  <c r="O40" i="7"/>
  <c r="AK40" i="7" s="1"/>
  <c r="AH39" i="7"/>
  <c r="AL39" i="7" s="1"/>
  <c r="AG39" i="7"/>
  <c r="AF39" i="7"/>
  <c r="AE39" i="7"/>
  <c r="AD39" i="7"/>
  <c r="R39" i="7"/>
  <c r="Q39" i="7"/>
  <c r="P39" i="7"/>
  <c r="O39" i="7"/>
  <c r="AJ39" i="7" s="1"/>
  <c r="AH38" i="7"/>
  <c r="AL38" i="7" s="1"/>
  <c r="AG38" i="7"/>
  <c r="AF38" i="7"/>
  <c r="AE38" i="7"/>
  <c r="AD38" i="7"/>
  <c r="R38" i="7"/>
  <c r="Q38" i="7"/>
  <c r="P38" i="7"/>
  <c r="O38" i="7"/>
  <c r="AK38" i="7" s="1"/>
  <c r="AH37" i="7"/>
  <c r="AL37" i="7" s="1"/>
  <c r="AG37" i="7"/>
  <c r="AF37" i="7"/>
  <c r="AE37" i="7"/>
  <c r="AD37" i="7"/>
  <c r="R37" i="7"/>
  <c r="Q37" i="7"/>
  <c r="P37" i="7"/>
  <c r="O37" i="7"/>
  <c r="AK37" i="7" s="1"/>
  <c r="AH36" i="7"/>
  <c r="AL36" i="7" s="1"/>
  <c r="AG36" i="7"/>
  <c r="AF36" i="7"/>
  <c r="AE36" i="7"/>
  <c r="AD36" i="7"/>
  <c r="R36" i="7"/>
  <c r="Q36" i="7"/>
  <c r="P36" i="7"/>
  <c r="O36" i="7"/>
  <c r="AH35" i="7"/>
  <c r="AL35" i="7" s="1"/>
  <c r="AG35" i="7"/>
  <c r="AF35" i="7"/>
  <c r="AE35" i="7"/>
  <c r="AD35" i="7"/>
  <c r="R35" i="7"/>
  <c r="Q35" i="7"/>
  <c r="P35" i="7"/>
  <c r="O35" i="7"/>
  <c r="AH34" i="7"/>
  <c r="AL34" i="7" s="1"/>
  <c r="AG34" i="7"/>
  <c r="AF34" i="7"/>
  <c r="AE34" i="7"/>
  <c r="AD34" i="7"/>
  <c r="AC34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AK34" i="7" s="1"/>
  <c r="AH33" i="7"/>
  <c r="AL33" i="7" s="1"/>
  <c r="AG33" i="7"/>
  <c r="AF33" i="7"/>
  <c r="AE33" i="7"/>
  <c r="AD33" i="7"/>
  <c r="R33" i="7"/>
  <c r="Q33" i="7"/>
  <c r="P33" i="7"/>
  <c r="O33" i="7"/>
  <c r="AH32" i="7"/>
  <c r="AL32" i="7" s="1"/>
  <c r="AG32" i="7"/>
  <c r="AF32" i="7"/>
  <c r="AE32" i="7"/>
  <c r="AD32" i="7"/>
  <c r="R32" i="7"/>
  <c r="Q32" i="7"/>
  <c r="P32" i="7"/>
  <c r="O32" i="7"/>
  <c r="AJ32" i="7" s="1"/>
  <c r="AH31" i="7"/>
  <c r="AL31" i="7" s="1"/>
  <c r="AG31" i="7"/>
  <c r="AF31" i="7"/>
  <c r="AE31" i="7"/>
  <c r="AD31" i="7"/>
  <c r="R31" i="7"/>
  <c r="Q31" i="7"/>
  <c r="P31" i="7"/>
  <c r="O31" i="7"/>
  <c r="AK31" i="7" s="1"/>
  <c r="AH30" i="7"/>
  <c r="AL30" i="7" s="1"/>
  <c r="AG30" i="7"/>
  <c r="AF30" i="7"/>
  <c r="AE30" i="7"/>
  <c r="AD30" i="7"/>
  <c r="R30" i="7"/>
  <c r="Q30" i="7"/>
  <c r="P30" i="7"/>
  <c r="O30" i="7"/>
  <c r="AH29" i="7"/>
  <c r="AL29" i="7" s="1"/>
  <c r="AG29" i="7"/>
  <c r="AF29" i="7"/>
  <c r="AE29" i="7"/>
  <c r="AD29" i="7"/>
  <c r="R29" i="7"/>
  <c r="Q29" i="7"/>
  <c r="P29" i="7"/>
  <c r="O29" i="7"/>
  <c r="AH28" i="7"/>
  <c r="AL28" i="7" s="1"/>
  <c r="AG28" i="7"/>
  <c r="AF28" i="7"/>
  <c r="AE28" i="7"/>
  <c r="AD28" i="7"/>
  <c r="R28" i="7"/>
  <c r="Q28" i="7"/>
  <c r="P28" i="7"/>
  <c r="O28" i="7"/>
  <c r="AK28" i="7" s="1"/>
  <c r="AH27" i="7"/>
  <c r="AL27" i="7" s="1"/>
  <c r="AG27" i="7"/>
  <c r="AF27" i="7"/>
  <c r="AE27" i="7"/>
  <c r="AD27" i="7"/>
  <c r="R27" i="7"/>
  <c r="Q27" i="7"/>
  <c r="P27" i="7"/>
  <c r="O27" i="7"/>
  <c r="AH26" i="7"/>
  <c r="AL26" i="7" s="1"/>
  <c r="AG26" i="7"/>
  <c r="AF26" i="7"/>
  <c r="AE26" i="7"/>
  <c r="AD26" i="7"/>
  <c r="R26" i="7"/>
  <c r="Q26" i="7"/>
  <c r="P26" i="7"/>
  <c r="O26" i="7"/>
  <c r="AH25" i="7"/>
  <c r="AL25" i="7" s="1"/>
  <c r="AG25" i="7"/>
  <c r="AF25" i="7"/>
  <c r="AE25" i="7"/>
  <c r="AD25" i="7"/>
  <c r="T25" i="7"/>
  <c r="R25" i="7"/>
  <c r="Q25" i="7"/>
  <c r="P25" i="7"/>
  <c r="O25" i="7"/>
  <c r="AK25" i="7" s="1"/>
  <c r="AH24" i="7"/>
  <c r="AL24" i="7" s="1"/>
  <c r="AG24" i="7"/>
  <c r="AF24" i="7"/>
  <c r="AE24" i="7"/>
  <c r="AD24" i="7"/>
  <c r="R24" i="7"/>
  <c r="Q24" i="7"/>
  <c r="P24" i="7"/>
  <c r="O24" i="7"/>
  <c r="AH23" i="7"/>
  <c r="AL23" i="7" s="1"/>
  <c r="AG23" i="7"/>
  <c r="AF23" i="7"/>
  <c r="AE23" i="7"/>
  <c r="AD23" i="7"/>
  <c r="R23" i="7"/>
  <c r="Q23" i="7"/>
  <c r="P23" i="7"/>
  <c r="O23" i="7"/>
  <c r="AH22" i="7"/>
  <c r="AL22" i="7" s="1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AK22" i="7" s="1"/>
  <c r="AH21" i="7"/>
  <c r="AL21" i="7" s="1"/>
  <c r="AG21" i="7"/>
  <c r="AF21" i="7"/>
  <c r="AE21" i="7"/>
  <c r="AD21" i="7"/>
  <c r="W21" i="7"/>
  <c r="R21" i="7"/>
  <c r="Q21" i="7"/>
  <c r="P21" i="7"/>
  <c r="O21" i="7"/>
  <c r="AH20" i="7"/>
  <c r="AL20" i="7" s="1"/>
  <c r="AG20" i="7"/>
  <c r="AF20" i="7"/>
  <c r="AE20" i="7"/>
  <c r="AD20" i="7"/>
  <c r="R20" i="7"/>
  <c r="Q20" i="7"/>
  <c r="P20" i="7"/>
  <c r="O20" i="7"/>
  <c r="AH19" i="7"/>
  <c r="AL19" i="7" s="1"/>
  <c r="AG19" i="7"/>
  <c r="AF19" i="7"/>
  <c r="AE19" i="7"/>
  <c r="AD19" i="7"/>
  <c r="R19" i="7"/>
  <c r="Q19" i="7"/>
  <c r="P19" i="7"/>
  <c r="O19" i="7"/>
  <c r="AK19" i="7" s="1"/>
  <c r="AH18" i="7"/>
  <c r="AL18" i="7" s="1"/>
  <c r="AG18" i="7"/>
  <c r="AF18" i="7"/>
  <c r="AE18" i="7"/>
  <c r="AD18" i="7"/>
  <c r="R18" i="7"/>
  <c r="Q18" i="7"/>
  <c r="P18" i="7"/>
  <c r="O18" i="7"/>
  <c r="AH17" i="7"/>
  <c r="AL17" i="7" s="1"/>
  <c r="AG17" i="7"/>
  <c r="AF17" i="7"/>
  <c r="AE17" i="7"/>
  <c r="AD17" i="7"/>
  <c r="R17" i="7"/>
  <c r="Q17" i="7"/>
  <c r="P17" i="7"/>
  <c r="O17" i="7"/>
  <c r="AH16" i="7"/>
  <c r="AL16" i="7" s="1"/>
  <c r="AG16" i="7"/>
  <c r="AF16" i="7"/>
  <c r="AE16" i="7"/>
  <c r="AD16" i="7"/>
  <c r="R16" i="7"/>
  <c r="Q16" i="7"/>
  <c r="P16" i="7"/>
  <c r="O16" i="7"/>
  <c r="AK16" i="7" s="1"/>
  <c r="AH15" i="7"/>
  <c r="AL15" i="7" s="1"/>
  <c r="AG15" i="7"/>
  <c r="AF15" i="7"/>
  <c r="AE15" i="7"/>
  <c r="AD15" i="7"/>
  <c r="R15" i="7"/>
  <c r="Q15" i="7"/>
  <c r="P15" i="7"/>
  <c r="O15" i="7"/>
  <c r="AH14" i="7"/>
  <c r="AL14" i="7" s="1"/>
  <c r="AG14" i="7"/>
  <c r="AF14" i="7"/>
  <c r="AE14" i="7"/>
  <c r="AD14" i="7"/>
  <c r="R14" i="7"/>
  <c r="Q14" i="7"/>
  <c r="P14" i="7"/>
  <c r="O14" i="7"/>
  <c r="AH13" i="7"/>
  <c r="AL13" i="7" s="1"/>
  <c r="AG13" i="7"/>
  <c r="AF13" i="7"/>
  <c r="AE13" i="7"/>
  <c r="AD13" i="7"/>
  <c r="R13" i="7"/>
  <c r="Q13" i="7"/>
  <c r="P13" i="7"/>
  <c r="O13" i="7"/>
  <c r="AK13" i="7" s="1"/>
  <c r="AH12" i="7"/>
  <c r="AL12" i="7" s="1"/>
  <c r="AG12" i="7"/>
  <c r="AF12" i="7"/>
  <c r="AE12" i="7"/>
  <c r="AD12" i="7"/>
  <c r="R12" i="7"/>
  <c r="Q12" i="7"/>
  <c r="P12" i="7"/>
  <c r="O12" i="7"/>
  <c r="AH11" i="7"/>
  <c r="AL11" i="7" s="1"/>
  <c r="AG11" i="7"/>
  <c r="AF11" i="7"/>
  <c r="AE11" i="7"/>
  <c r="AD11" i="7"/>
  <c r="R11" i="7"/>
  <c r="Q11" i="7"/>
  <c r="P11" i="7"/>
  <c r="O11" i="7"/>
  <c r="AH10" i="7"/>
  <c r="AL10" i="7" s="1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AK10" i="7" s="1"/>
  <c r="AH9" i="7"/>
  <c r="AL9" i="7" s="1"/>
  <c r="AG9" i="7"/>
  <c r="AF9" i="7"/>
  <c r="AE9" i="7"/>
  <c r="AD9" i="7"/>
  <c r="R9" i="7"/>
  <c r="Q9" i="7"/>
  <c r="P9" i="7"/>
  <c r="O9" i="7"/>
  <c r="AH8" i="7"/>
  <c r="AL8" i="7" s="1"/>
  <c r="AG8" i="7"/>
  <c r="AF8" i="7"/>
  <c r="AE8" i="7"/>
  <c r="AD8" i="7"/>
  <c r="R8" i="7"/>
  <c r="Q8" i="7"/>
  <c r="P8" i="7"/>
  <c r="O8" i="7"/>
  <c r="AH7" i="7"/>
  <c r="AL7" i="7" s="1"/>
  <c r="AG7" i="7"/>
  <c r="AF7" i="7"/>
  <c r="AE7" i="7"/>
  <c r="AD7" i="7"/>
  <c r="R7" i="7"/>
  <c r="Q7" i="7"/>
  <c r="P7" i="7"/>
  <c r="O7" i="7"/>
  <c r="AK7" i="7" s="1"/>
  <c r="AH6" i="7"/>
  <c r="AL6" i="7" s="1"/>
  <c r="AG6" i="7"/>
  <c r="AF6" i="7"/>
  <c r="AE6" i="7"/>
  <c r="AD6" i="7"/>
  <c r="R6" i="7"/>
  <c r="Q6" i="7"/>
  <c r="P6" i="7"/>
  <c r="O6" i="7"/>
  <c r="AH5" i="7"/>
  <c r="AL5" i="7" s="1"/>
  <c r="AG5" i="7"/>
  <c r="AF5" i="7"/>
  <c r="AE5" i="7"/>
  <c r="AD5" i="7"/>
  <c r="R5" i="7"/>
  <c r="Q5" i="7"/>
  <c r="P5" i="7"/>
  <c r="O5" i="7"/>
  <c r="AH4" i="7"/>
  <c r="AL4" i="7" s="1"/>
  <c r="AG4" i="7"/>
  <c r="AF4" i="7"/>
  <c r="AE4" i="7"/>
  <c r="AD4" i="7"/>
  <c r="R4" i="7"/>
  <c r="Q4" i="7"/>
  <c r="P4" i="7"/>
  <c r="O4" i="7"/>
  <c r="AK4" i="7" s="1"/>
  <c r="AH3" i="7"/>
  <c r="AG3" i="7"/>
  <c r="AF3" i="7"/>
  <c r="AE3" i="7"/>
  <c r="AD3" i="7"/>
  <c r="R3" i="7"/>
  <c r="Q3" i="7"/>
  <c r="P3" i="7"/>
  <c r="O3" i="7"/>
  <c r="AI3" i="7" s="1"/>
  <c r="M38" i="3" l="1"/>
  <c r="F38" i="3" s="1"/>
  <c r="M20" i="3"/>
  <c r="F20" i="3" s="1"/>
  <c r="M39" i="3"/>
  <c r="F39" i="3" s="1"/>
  <c r="M27" i="3"/>
  <c r="F27" i="3" s="1"/>
  <c r="M35" i="3"/>
  <c r="F35" i="3" s="1"/>
  <c r="M12" i="3"/>
  <c r="F12" i="3" s="1"/>
  <c r="M36" i="3"/>
  <c r="F36" i="3" s="1"/>
  <c r="M14" i="3"/>
  <c r="F14" i="3" s="1"/>
  <c r="M51" i="3"/>
  <c r="F51" i="3" s="1"/>
  <c r="M47" i="3"/>
  <c r="F47" i="3" s="1"/>
  <c r="M22" i="3"/>
  <c r="F22" i="3" s="1"/>
  <c r="M10" i="3"/>
  <c r="F10" i="3" s="1"/>
  <c r="M34" i="3"/>
  <c r="F34" i="3" s="1"/>
  <c r="M58" i="3"/>
  <c r="F58" i="3" s="1"/>
  <c r="M15" i="3"/>
  <c r="F15" i="3" s="1"/>
  <c r="M28" i="3"/>
  <c r="F28" i="3" s="1"/>
  <c r="M40" i="3"/>
  <c r="F40" i="3" s="1"/>
  <c r="M26" i="3"/>
  <c r="F26" i="3" s="1"/>
  <c r="M19" i="3"/>
  <c r="F19" i="3" s="1"/>
  <c r="M50" i="3"/>
  <c r="F50" i="3" s="1"/>
  <c r="M13" i="3"/>
  <c r="F13" i="3" s="1"/>
  <c r="M25" i="3"/>
  <c r="F25" i="3" s="1"/>
  <c r="M37" i="3"/>
  <c r="F37" i="3" s="1"/>
  <c r="M49" i="3"/>
  <c r="F49" i="3" s="1"/>
  <c r="M8" i="3"/>
  <c r="F8" i="3" s="1"/>
  <c r="M32" i="3"/>
  <c r="F32" i="3" s="1"/>
  <c r="M44" i="3"/>
  <c r="F44" i="3" s="1"/>
  <c r="M56" i="3"/>
  <c r="F56" i="3" s="1"/>
  <c r="M21" i="3"/>
  <c r="F21" i="3" s="1"/>
  <c r="M33" i="3"/>
  <c r="F33" i="3" s="1"/>
  <c r="M3" i="3"/>
  <c r="F3" i="3" s="1"/>
  <c r="N13" i="3"/>
  <c r="N15" i="3"/>
  <c r="N25" i="3"/>
  <c r="N27" i="3"/>
  <c r="N37" i="3"/>
  <c r="N39" i="3"/>
  <c r="N49" i="3"/>
  <c r="N51" i="3"/>
  <c r="N14" i="3"/>
  <c r="N26" i="3"/>
  <c r="N38" i="3"/>
  <c r="N50" i="3"/>
  <c r="N4" i="3"/>
  <c r="N16" i="3"/>
  <c r="N28" i="3"/>
  <c r="N40" i="3"/>
  <c r="N52" i="3"/>
  <c r="N5" i="3"/>
  <c r="N17" i="3"/>
  <c r="N29" i="3"/>
  <c r="N41" i="3"/>
  <c r="N53" i="3"/>
  <c r="N6" i="3"/>
  <c r="N18" i="3"/>
  <c r="N30" i="3"/>
  <c r="N42" i="3"/>
  <c r="N54" i="3"/>
  <c r="N7" i="3"/>
  <c r="N19" i="3"/>
  <c r="N31" i="3"/>
  <c r="N43" i="3"/>
  <c r="N55" i="3"/>
  <c r="N8" i="3"/>
  <c r="N20" i="3"/>
  <c r="N32" i="3"/>
  <c r="N44" i="3"/>
  <c r="N56" i="3"/>
  <c r="N9" i="3"/>
  <c r="N21" i="3"/>
  <c r="N33" i="3"/>
  <c r="N45" i="3"/>
  <c r="N57" i="3"/>
  <c r="N10" i="3"/>
  <c r="N22" i="3"/>
  <c r="N34" i="3"/>
  <c r="N46" i="3"/>
  <c r="N58" i="3"/>
  <c r="N11" i="3"/>
  <c r="N23" i="3"/>
  <c r="N35" i="3"/>
  <c r="N47" i="3"/>
  <c r="N59" i="3"/>
  <c r="N12" i="3"/>
  <c r="N24" i="3"/>
  <c r="N36" i="3"/>
  <c r="N48" i="3"/>
  <c r="N60" i="3"/>
  <c r="R13" i="3"/>
  <c r="R16" i="3"/>
  <c r="R25" i="3"/>
  <c r="R28" i="3"/>
  <c r="R37" i="3"/>
  <c r="R40" i="3"/>
  <c r="R49" i="3"/>
  <c r="R50" i="3"/>
  <c r="R51" i="3"/>
  <c r="R52" i="3"/>
  <c r="R14" i="3"/>
  <c r="R26" i="3"/>
  <c r="R38" i="3"/>
  <c r="R15" i="3"/>
  <c r="R27" i="3"/>
  <c r="R39" i="3"/>
  <c r="R4" i="3"/>
  <c r="R5" i="3"/>
  <c r="R17" i="3"/>
  <c r="R29" i="3"/>
  <c r="R41" i="3"/>
  <c r="R53" i="3"/>
  <c r="R6" i="3"/>
  <c r="R18" i="3"/>
  <c r="R30" i="3"/>
  <c r="R42" i="3"/>
  <c r="R54" i="3"/>
  <c r="R7" i="3"/>
  <c r="R19" i="3"/>
  <c r="R31" i="3"/>
  <c r="R43" i="3"/>
  <c r="R55" i="3"/>
  <c r="R8" i="3"/>
  <c r="R20" i="3"/>
  <c r="R32" i="3"/>
  <c r="R44" i="3"/>
  <c r="R56" i="3"/>
  <c r="R9" i="3"/>
  <c r="R21" i="3"/>
  <c r="R33" i="3"/>
  <c r="R45" i="3"/>
  <c r="R57" i="3"/>
  <c r="R10" i="3"/>
  <c r="R22" i="3"/>
  <c r="R34" i="3"/>
  <c r="R46" i="3"/>
  <c r="R58" i="3"/>
  <c r="R11" i="3"/>
  <c r="R23" i="3"/>
  <c r="R35" i="3"/>
  <c r="R47" i="3"/>
  <c r="R59" i="3"/>
  <c r="R12" i="3"/>
  <c r="R24" i="3"/>
  <c r="R36" i="3"/>
  <c r="R48" i="3"/>
  <c r="R60" i="3"/>
  <c r="Q3" i="3"/>
  <c r="AB8" i="7"/>
  <c r="Y20" i="7"/>
  <c r="V32" i="7"/>
  <c r="T44" i="7"/>
  <c r="V44" i="7"/>
  <c r="AC56" i="7"/>
  <c r="V49" i="7"/>
  <c r="AB35" i="7"/>
  <c r="Z35" i="7"/>
  <c r="AA47" i="7"/>
  <c r="Z47" i="7"/>
  <c r="S59" i="7"/>
  <c r="V11" i="7"/>
  <c r="X11" i="7"/>
  <c r="W23" i="7"/>
  <c r="T59" i="7"/>
  <c r="Y23" i="7"/>
  <c r="V31" i="7"/>
  <c r="Z19" i="7"/>
  <c r="U7" i="7"/>
  <c r="Z43" i="7"/>
  <c r="AI63" i="7"/>
  <c r="AJ63" i="7"/>
  <c r="AK63" i="7"/>
  <c r="AM63" i="7"/>
  <c r="U67" i="7"/>
  <c r="Y79" i="7"/>
  <c r="S82" i="7"/>
  <c r="Y85" i="7"/>
  <c r="S88" i="7"/>
  <c r="Y67" i="7"/>
  <c r="S70" i="7"/>
  <c r="Y73" i="7"/>
  <c r="S76" i="7"/>
  <c r="W92" i="7"/>
  <c r="AC95" i="7"/>
  <c r="W98" i="7"/>
  <c r="AC101" i="7"/>
  <c r="W80" i="7"/>
  <c r="AC83" i="7"/>
  <c r="W86" i="7"/>
  <c r="AC89" i="7"/>
  <c r="AC65" i="7"/>
  <c r="W68" i="7"/>
  <c r="AC71" i="7"/>
  <c r="W74" i="7"/>
  <c r="AC77" i="7"/>
  <c r="U93" i="7"/>
  <c r="AA96" i="7"/>
  <c r="U99" i="7"/>
  <c r="U81" i="7"/>
  <c r="AA84" i="7"/>
  <c r="U87" i="7"/>
  <c r="U69" i="7"/>
  <c r="AA72" i="7"/>
  <c r="U75" i="7"/>
  <c r="Y91" i="7"/>
  <c r="S94" i="7"/>
  <c r="Y97" i="7"/>
  <c r="S100" i="7"/>
  <c r="AB65" i="7"/>
  <c r="Z66" i="7"/>
  <c r="X67" i="7"/>
  <c r="V68" i="7"/>
  <c r="T69" i="7"/>
  <c r="AB71" i="7"/>
  <c r="Z72" i="7"/>
  <c r="X73" i="7"/>
  <c r="V74" i="7"/>
  <c r="T75" i="7"/>
  <c r="AB77" i="7"/>
  <c r="Z78" i="7"/>
  <c r="X79" i="7"/>
  <c r="V80" i="7"/>
  <c r="T81" i="7"/>
  <c r="AB83" i="7"/>
  <c r="Z84" i="7"/>
  <c r="X85" i="7"/>
  <c r="V86" i="7"/>
  <c r="T87" i="7"/>
  <c r="AB89" i="7"/>
  <c r="Z90" i="7"/>
  <c r="X91" i="7"/>
  <c r="V92" i="7"/>
  <c r="T93" i="7"/>
  <c r="AB95" i="7"/>
  <c r="Z96" i="7"/>
  <c r="X97" i="7"/>
  <c r="V98" i="7"/>
  <c r="T99" i="7"/>
  <c r="AB101" i="7"/>
  <c r="AA90" i="7"/>
  <c r="T64" i="7"/>
  <c r="AB66" i="7"/>
  <c r="Z67" i="7"/>
  <c r="X68" i="7"/>
  <c r="V69" i="7"/>
  <c r="T70" i="7"/>
  <c r="AB72" i="7"/>
  <c r="Z73" i="7"/>
  <c r="X74" i="7"/>
  <c r="V75" i="7"/>
  <c r="T76" i="7"/>
  <c r="AB78" i="7"/>
  <c r="Z79" i="7"/>
  <c r="X80" i="7"/>
  <c r="V81" i="7"/>
  <c r="T82" i="7"/>
  <c r="AB84" i="7"/>
  <c r="Z85" i="7"/>
  <c r="X86" i="7"/>
  <c r="V87" i="7"/>
  <c r="T88" i="7"/>
  <c r="AB90" i="7"/>
  <c r="Z91" i="7"/>
  <c r="X92" i="7"/>
  <c r="V93" i="7"/>
  <c r="T94" i="7"/>
  <c r="AB96" i="7"/>
  <c r="Z97" i="7"/>
  <c r="X98" i="7"/>
  <c r="V99" i="7"/>
  <c r="T100" i="7"/>
  <c r="S64" i="7"/>
  <c r="U64" i="7"/>
  <c r="S65" i="7"/>
  <c r="AC66" i="7"/>
  <c r="AA67" i="7"/>
  <c r="Y68" i="7"/>
  <c r="W69" i="7"/>
  <c r="U70" i="7"/>
  <c r="S71" i="7"/>
  <c r="AC72" i="7"/>
  <c r="AA73" i="7"/>
  <c r="Y74" i="7"/>
  <c r="W75" i="7"/>
  <c r="U76" i="7"/>
  <c r="S77" i="7"/>
  <c r="AC78" i="7"/>
  <c r="AA79" i="7"/>
  <c r="Y80" i="7"/>
  <c r="W81" i="7"/>
  <c r="U82" i="7"/>
  <c r="S83" i="7"/>
  <c r="AC84" i="7"/>
  <c r="AA85" i="7"/>
  <c r="Y86" i="7"/>
  <c r="W87" i="7"/>
  <c r="U88" i="7"/>
  <c r="S89" i="7"/>
  <c r="AC90" i="7"/>
  <c r="AA91" i="7"/>
  <c r="Y92" i="7"/>
  <c r="W93" i="7"/>
  <c r="U94" i="7"/>
  <c r="S95" i="7"/>
  <c r="AC96" i="7"/>
  <c r="AA97" i="7"/>
  <c r="Y98" i="7"/>
  <c r="W99" i="7"/>
  <c r="U100" i="7"/>
  <c r="S101" i="7"/>
  <c r="V64" i="7"/>
  <c r="T65" i="7"/>
  <c r="AB67" i="7"/>
  <c r="Z68" i="7"/>
  <c r="X69" i="7"/>
  <c r="V70" i="7"/>
  <c r="T71" i="7"/>
  <c r="AB73" i="7"/>
  <c r="Z74" i="7"/>
  <c r="X75" i="7"/>
  <c r="V76" i="7"/>
  <c r="T77" i="7"/>
  <c r="AB79" i="7"/>
  <c r="Z80" i="7"/>
  <c r="X81" i="7"/>
  <c r="V82" i="7"/>
  <c r="T83" i="7"/>
  <c r="AB85" i="7"/>
  <c r="Z86" i="7"/>
  <c r="X87" i="7"/>
  <c r="V88" i="7"/>
  <c r="T89" i="7"/>
  <c r="AB91" i="7"/>
  <c r="Z92" i="7"/>
  <c r="X93" i="7"/>
  <c r="V94" i="7"/>
  <c r="T95" i="7"/>
  <c r="AB97" i="7"/>
  <c r="Z98" i="7"/>
  <c r="X99" i="7"/>
  <c r="V100" i="7"/>
  <c r="T101" i="7"/>
  <c r="W64" i="7"/>
  <c r="U65" i="7"/>
  <c r="S66" i="7"/>
  <c r="AC67" i="7"/>
  <c r="AA68" i="7"/>
  <c r="Y69" i="7"/>
  <c r="W70" i="7"/>
  <c r="U71" i="7"/>
  <c r="S72" i="7"/>
  <c r="AC73" i="7"/>
  <c r="AA74" i="7"/>
  <c r="Y75" i="7"/>
  <c r="W76" i="7"/>
  <c r="U77" i="7"/>
  <c r="S78" i="7"/>
  <c r="AC79" i="7"/>
  <c r="AA80" i="7"/>
  <c r="Y81" i="7"/>
  <c r="W82" i="7"/>
  <c r="U83" i="7"/>
  <c r="S84" i="7"/>
  <c r="AC85" i="7"/>
  <c r="AA86" i="7"/>
  <c r="Y87" i="7"/>
  <c r="W88" i="7"/>
  <c r="U89" i="7"/>
  <c r="S90" i="7"/>
  <c r="AC91" i="7"/>
  <c r="AA92" i="7"/>
  <c r="Y93" i="7"/>
  <c r="W94" i="7"/>
  <c r="U95" i="7"/>
  <c r="S96" i="7"/>
  <c r="AC97" i="7"/>
  <c r="AA98" i="7"/>
  <c r="Y99" i="7"/>
  <c r="W100" i="7"/>
  <c r="U101" i="7"/>
  <c r="AA78" i="7"/>
  <c r="X64" i="7"/>
  <c r="V65" i="7"/>
  <c r="T66" i="7"/>
  <c r="AB68" i="7"/>
  <c r="Z69" i="7"/>
  <c r="X70" i="7"/>
  <c r="V71" i="7"/>
  <c r="T72" i="7"/>
  <c r="AB74" i="7"/>
  <c r="Z75" i="7"/>
  <c r="X76" i="7"/>
  <c r="V77" i="7"/>
  <c r="T78" i="7"/>
  <c r="AB80" i="7"/>
  <c r="Z81" i="7"/>
  <c r="X82" i="7"/>
  <c r="V83" i="7"/>
  <c r="T84" i="7"/>
  <c r="AB86" i="7"/>
  <c r="Z87" i="7"/>
  <c r="X88" i="7"/>
  <c r="V89" i="7"/>
  <c r="T90" i="7"/>
  <c r="AB92" i="7"/>
  <c r="Z93" i="7"/>
  <c r="X94" i="7"/>
  <c r="V95" i="7"/>
  <c r="T96" i="7"/>
  <c r="AB98" i="7"/>
  <c r="Z99" i="7"/>
  <c r="X100" i="7"/>
  <c r="V101" i="7"/>
  <c r="Y64" i="7"/>
  <c r="W65" i="7"/>
  <c r="U66" i="7"/>
  <c r="S67" i="7"/>
  <c r="AC68" i="7"/>
  <c r="AA69" i="7"/>
  <c r="Y70" i="7"/>
  <c r="W71" i="7"/>
  <c r="U72" i="7"/>
  <c r="S73" i="7"/>
  <c r="AC74" i="7"/>
  <c r="AA75" i="7"/>
  <c r="Y76" i="7"/>
  <c r="W77" i="7"/>
  <c r="U78" i="7"/>
  <c r="S79" i="7"/>
  <c r="AC80" i="7"/>
  <c r="AA81" i="7"/>
  <c r="Y82" i="7"/>
  <c r="W83" i="7"/>
  <c r="U84" i="7"/>
  <c r="S85" i="7"/>
  <c r="AC86" i="7"/>
  <c r="AA87" i="7"/>
  <c r="Y88" i="7"/>
  <c r="W89" i="7"/>
  <c r="U90" i="7"/>
  <c r="S91" i="7"/>
  <c r="AC92" i="7"/>
  <c r="AA93" i="7"/>
  <c r="Y94" i="7"/>
  <c r="W95" i="7"/>
  <c r="U96" i="7"/>
  <c r="S97" i="7"/>
  <c r="AC98" i="7"/>
  <c r="AA99" i="7"/>
  <c r="Y100" i="7"/>
  <c r="W101" i="7"/>
  <c r="Y5" i="7"/>
  <c r="Z64" i="7"/>
  <c r="X65" i="7"/>
  <c r="V66" i="7"/>
  <c r="T67" i="7"/>
  <c r="AB69" i="7"/>
  <c r="Z70" i="7"/>
  <c r="X71" i="7"/>
  <c r="V72" i="7"/>
  <c r="T73" i="7"/>
  <c r="AB75" i="7"/>
  <c r="Z76" i="7"/>
  <c r="X77" i="7"/>
  <c r="V78" i="7"/>
  <c r="T79" i="7"/>
  <c r="AB81" i="7"/>
  <c r="Z82" i="7"/>
  <c r="X83" i="7"/>
  <c r="V84" i="7"/>
  <c r="T85" i="7"/>
  <c r="AB87" i="7"/>
  <c r="Z88" i="7"/>
  <c r="X89" i="7"/>
  <c r="V90" i="7"/>
  <c r="T91" i="7"/>
  <c r="AB93" i="7"/>
  <c r="Z94" i="7"/>
  <c r="X95" i="7"/>
  <c r="V96" i="7"/>
  <c r="T97" i="7"/>
  <c r="AB99" i="7"/>
  <c r="Z100" i="7"/>
  <c r="X101" i="7"/>
  <c r="AA66" i="7"/>
  <c r="AA64" i="7"/>
  <c r="Y65" i="7"/>
  <c r="W66" i="7"/>
  <c r="S68" i="7"/>
  <c r="AC69" i="7"/>
  <c r="AA70" i="7"/>
  <c r="Y71" i="7"/>
  <c r="W72" i="7"/>
  <c r="U73" i="7"/>
  <c r="S74" i="7"/>
  <c r="AC75" i="7"/>
  <c r="AA76" i="7"/>
  <c r="Y77" i="7"/>
  <c r="W78" i="7"/>
  <c r="U79" i="7"/>
  <c r="S80" i="7"/>
  <c r="AC81" i="7"/>
  <c r="AA82" i="7"/>
  <c r="Y83" i="7"/>
  <c r="W84" i="7"/>
  <c r="U85" i="7"/>
  <c r="S86" i="7"/>
  <c r="AC87" i="7"/>
  <c r="AA88" i="7"/>
  <c r="Y89" i="7"/>
  <c r="W90" i="7"/>
  <c r="U91" i="7"/>
  <c r="S92" i="7"/>
  <c r="AC93" i="7"/>
  <c r="AA94" i="7"/>
  <c r="Y95" i="7"/>
  <c r="W96" i="7"/>
  <c r="U97" i="7"/>
  <c r="S98" i="7"/>
  <c r="AC99" i="7"/>
  <c r="AA100" i="7"/>
  <c r="Y101" i="7"/>
  <c r="AB64" i="7"/>
  <c r="Z65" i="7"/>
  <c r="X66" i="7"/>
  <c r="V67" i="7"/>
  <c r="T68" i="7"/>
  <c r="AB70" i="7"/>
  <c r="Z71" i="7"/>
  <c r="X72" i="7"/>
  <c r="V73" i="7"/>
  <c r="T74" i="7"/>
  <c r="AB76" i="7"/>
  <c r="Z77" i="7"/>
  <c r="X78" i="7"/>
  <c r="V79" i="7"/>
  <c r="T80" i="7"/>
  <c r="AB82" i="7"/>
  <c r="Z83" i="7"/>
  <c r="X84" i="7"/>
  <c r="V85" i="7"/>
  <c r="T86" i="7"/>
  <c r="AB88" i="7"/>
  <c r="Z89" i="7"/>
  <c r="X90" i="7"/>
  <c r="V91" i="7"/>
  <c r="T92" i="7"/>
  <c r="AB94" i="7"/>
  <c r="Z95" i="7"/>
  <c r="X96" i="7"/>
  <c r="V97" i="7"/>
  <c r="T98" i="7"/>
  <c r="AB100" i="7"/>
  <c r="Z101" i="7"/>
  <c r="AC8" i="7"/>
  <c r="Z20" i="7"/>
  <c r="W32" i="7"/>
  <c r="U44" i="7"/>
  <c r="S8" i="7"/>
  <c r="AB20" i="7"/>
  <c r="Y32" i="7"/>
  <c r="W44" i="7"/>
  <c r="T56" i="7"/>
  <c r="T8" i="7"/>
  <c r="AC20" i="7"/>
  <c r="Z32" i="7"/>
  <c r="X44" i="7"/>
  <c r="U56" i="7"/>
  <c r="U8" i="7"/>
  <c r="AA32" i="7"/>
  <c r="Y44" i="7"/>
  <c r="V56" i="7"/>
  <c r="V8" i="7"/>
  <c r="S20" i="7"/>
  <c r="AB32" i="7"/>
  <c r="Z44" i="7"/>
  <c r="W56" i="7"/>
  <c r="W8" i="7"/>
  <c r="T20" i="7"/>
  <c r="AC32" i="7"/>
  <c r="AA44" i="7"/>
  <c r="X56" i="7"/>
  <c r="AC18" i="7"/>
  <c r="AA20" i="7"/>
  <c r="X8" i="7"/>
  <c r="U20" i="7"/>
  <c r="AB44" i="7"/>
  <c r="Y56" i="7"/>
  <c r="X32" i="7"/>
  <c r="Y8" i="7"/>
  <c r="V20" i="7"/>
  <c r="S32" i="7"/>
  <c r="AC44" i="7"/>
  <c r="Z56" i="7"/>
  <c r="S56" i="7"/>
  <c r="Z8" i="7"/>
  <c r="W20" i="7"/>
  <c r="T32" i="7"/>
  <c r="AA56" i="7"/>
  <c r="V3" i="7"/>
  <c r="AA40" i="7"/>
  <c r="T33" i="7"/>
  <c r="AA9" i="7"/>
  <c r="AC45" i="7"/>
  <c r="AA57" i="7"/>
  <c r="Z16" i="7"/>
  <c r="T17" i="7"/>
  <c r="AL3" i="7"/>
  <c r="W30" i="7"/>
  <c r="Y29" i="7"/>
  <c r="Z42" i="7"/>
  <c r="V4" i="7"/>
  <c r="AB9" i="7"/>
  <c r="X21" i="7"/>
  <c r="U33" i="7"/>
  <c r="AB57" i="7"/>
  <c r="AC9" i="7"/>
  <c r="Y21" i="7"/>
  <c r="V33" i="7"/>
  <c r="S45" i="7"/>
  <c r="AC57" i="7"/>
  <c r="Z21" i="7"/>
  <c r="W33" i="7"/>
  <c r="T45" i="7"/>
  <c r="S9" i="7"/>
  <c r="AA21" i="7"/>
  <c r="X33" i="7"/>
  <c r="U45" i="7"/>
  <c r="S57" i="7"/>
  <c r="T9" i="7"/>
  <c r="AB21" i="7"/>
  <c r="Y33" i="7"/>
  <c r="V45" i="7"/>
  <c r="T57" i="7"/>
  <c r="AC21" i="7"/>
  <c r="Z33" i="7"/>
  <c r="W45" i="7"/>
  <c r="U57" i="7"/>
  <c r="V9" i="7"/>
  <c r="AA33" i="7"/>
  <c r="X45" i="7"/>
  <c r="V57" i="7"/>
  <c r="W9" i="7"/>
  <c r="S21" i="7"/>
  <c r="AB33" i="7"/>
  <c r="Y45" i="7"/>
  <c r="W57" i="7"/>
  <c r="X9" i="7"/>
  <c r="T21" i="7"/>
  <c r="AC33" i="7"/>
  <c r="Z45" i="7"/>
  <c r="X57" i="7"/>
  <c r="U9" i="7"/>
  <c r="Y9" i="7"/>
  <c r="U21" i="7"/>
  <c r="AA45" i="7"/>
  <c r="Y57" i="7"/>
  <c r="T37" i="7"/>
  <c r="AC37" i="7"/>
  <c r="AB37" i="7"/>
  <c r="AA37" i="7"/>
  <c r="Z37" i="7"/>
  <c r="Y37" i="7"/>
  <c r="X37" i="7"/>
  <c r="V37" i="7"/>
  <c r="U49" i="7"/>
  <c r="S49" i="7"/>
  <c r="AC49" i="7"/>
  <c r="AB49" i="7"/>
  <c r="AA49" i="7"/>
  <c r="Z49" i="7"/>
  <c r="Y49" i="7"/>
  <c r="W49" i="7"/>
  <c r="Z61" i="7"/>
  <c r="X61" i="7"/>
  <c r="W61" i="7"/>
  <c r="V61" i="7"/>
  <c r="U61" i="7"/>
  <c r="T61" i="7"/>
  <c r="S61" i="7"/>
  <c r="AB61" i="7"/>
  <c r="AB13" i="7"/>
  <c r="AA13" i="7"/>
  <c r="Z13" i="7"/>
  <c r="Y13" i="7"/>
  <c r="X13" i="7"/>
  <c r="W13" i="7"/>
  <c r="V13" i="7"/>
  <c r="T13" i="7"/>
  <c r="S13" i="7"/>
  <c r="S37" i="7"/>
  <c r="U37" i="7"/>
  <c r="AC13" i="7"/>
  <c r="W37" i="7"/>
  <c r="U13" i="7"/>
  <c r="S25" i="7"/>
  <c r="AC25" i="7"/>
  <c r="AB25" i="7"/>
  <c r="AA25" i="7"/>
  <c r="Z25" i="7"/>
  <c r="Y25" i="7"/>
  <c r="X25" i="7"/>
  <c r="W25" i="7"/>
  <c r="U25" i="7"/>
  <c r="T49" i="7"/>
  <c r="W11" i="7"/>
  <c r="U11" i="7"/>
  <c r="T11" i="7"/>
  <c r="S11" i="7"/>
  <c r="AC11" i="7"/>
  <c r="AB11" i="7"/>
  <c r="AA11" i="7"/>
  <c r="Y11" i="7"/>
  <c r="X23" i="7"/>
  <c r="V23" i="7"/>
  <c r="U23" i="7"/>
  <c r="T23" i="7"/>
  <c r="S23" i="7"/>
  <c r="AC23" i="7"/>
  <c r="AB23" i="7"/>
  <c r="Z23" i="7"/>
  <c r="Y35" i="7"/>
  <c r="W35" i="7"/>
  <c r="V35" i="7"/>
  <c r="U35" i="7"/>
  <c r="T35" i="7"/>
  <c r="S35" i="7"/>
  <c r="AC35" i="7"/>
  <c r="AA35" i="7"/>
  <c r="AC47" i="7"/>
  <c r="U59" i="7"/>
  <c r="S47" i="7"/>
  <c r="W59" i="7"/>
  <c r="T47" i="7"/>
  <c r="X59" i="7"/>
  <c r="U47" i="7"/>
  <c r="Y59" i="7"/>
  <c r="V47" i="7"/>
  <c r="Z59" i="7"/>
  <c r="W47" i="7"/>
  <c r="AA59" i="7"/>
  <c r="X47" i="7"/>
  <c r="AB59" i="7"/>
  <c r="Y47" i="7"/>
  <c r="AC59" i="7"/>
  <c r="Z5" i="7"/>
  <c r="T18" i="7"/>
  <c r="X30" i="7"/>
  <c r="AA42" i="7"/>
  <c r="S54" i="7"/>
  <c r="U18" i="7"/>
  <c r="Y30" i="7"/>
  <c r="AB42" i="7"/>
  <c r="T54" i="7"/>
  <c r="AB5" i="7"/>
  <c r="V18" i="7"/>
  <c r="Z30" i="7"/>
  <c r="AC42" i="7"/>
  <c r="U54" i="7"/>
  <c r="AA30" i="7"/>
  <c r="V54" i="7"/>
  <c r="AA5" i="7"/>
  <c r="AC5" i="7"/>
  <c r="W18" i="7"/>
  <c r="X18" i="7"/>
  <c r="AB30" i="7"/>
  <c r="S42" i="7"/>
  <c r="W54" i="7"/>
  <c r="S5" i="7"/>
  <c r="Y18" i="7"/>
  <c r="AC30" i="7"/>
  <c r="T42" i="7"/>
  <c r="X54" i="7"/>
  <c r="T5" i="7"/>
  <c r="Z18" i="7"/>
  <c r="U42" i="7"/>
  <c r="Y54" i="7"/>
  <c r="AA18" i="7"/>
  <c r="S30" i="7"/>
  <c r="V42" i="7"/>
  <c r="Z54" i="7"/>
  <c r="U5" i="7"/>
  <c r="V5" i="7"/>
  <c r="AB18" i="7"/>
  <c r="T30" i="7"/>
  <c r="W42" i="7"/>
  <c r="AA54" i="7"/>
  <c r="U30" i="7"/>
  <c r="X42" i="7"/>
  <c r="AB54" i="7"/>
  <c r="W5" i="7"/>
  <c r="U60" i="7"/>
  <c r="T60" i="7"/>
  <c r="S60" i="7"/>
  <c r="AC60" i="7"/>
  <c r="AB60" i="7"/>
  <c r="AA60" i="7"/>
  <c r="Z60" i="7"/>
  <c r="Y60" i="7"/>
  <c r="W60" i="7"/>
  <c r="Z36" i="7"/>
  <c r="AA12" i="7"/>
  <c r="Z12" i="7"/>
  <c r="Y12" i="7"/>
  <c r="X12" i="7"/>
  <c r="W12" i="7"/>
  <c r="V12" i="7"/>
  <c r="U12" i="7"/>
  <c r="S12" i="7"/>
  <c r="AC12" i="7"/>
  <c r="S24" i="7"/>
  <c r="AC24" i="7"/>
  <c r="AB24" i="7"/>
  <c r="AA24" i="7"/>
  <c r="Z24" i="7"/>
  <c r="Y24" i="7"/>
  <c r="X24" i="7"/>
  <c r="W24" i="7"/>
  <c r="U24" i="7"/>
  <c r="V60" i="7"/>
  <c r="X60" i="7"/>
  <c r="Z48" i="7"/>
  <c r="Y48" i="7"/>
  <c r="X48" i="7"/>
  <c r="W48" i="7"/>
  <c r="V48" i="7"/>
  <c r="U48" i="7"/>
  <c r="T48" i="7"/>
  <c r="S48" i="7"/>
  <c r="AB48" i="7"/>
  <c r="T12" i="7"/>
  <c r="V24" i="7"/>
  <c r="W36" i="7"/>
  <c r="V36" i="7"/>
  <c r="U36" i="7"/>
  <c r="T36" i="7"/>
  <c r="S36" i="7"/>
  <c r="AC36" i="7"/>
  <c r="AB36" i="7"/>
  <c r="AA36" i="7"/>
  <c r="Y36" i="7"/>
  <c r="AA48" i="7"/>
  <c r="AB19" i="7"/>
  <c r="W31" i="7"/>
  <c r="AA43" i="7"/>
  <c r="V55" i="7"/>
  <c r="W7" i="7"/>
  <c r="AC19" i="7"/>
  <c r="X31" i="7"/>
  <c r="AB43" i="7"/>
  <c r="W55" i="7"/>
  <c r="U55" i="7"/>
  <c r="Y31" i="7"/>
  <c r="AC43" i="7"/>
  <c r="X55" i="7"/>
  <c r="Y7" i="7"/>
  <c r="S19" i="7"/>
  <c r="Z31" i="7"/>
  <c r="Y55" i="7"/>
  <c r="V7" i="7"/>
  <c r="X7" i="7"/>
  <c r="T19" i="7"/>
  <c r="AA31" i="7"/>
  <c r="S43" i="7"/>
  <c r="Z55" i="7"/>
  <c r="Z7" i="7"/>
  <c r="AA7" i="7"/>
  <c r="U19" i="7"/>
  <c r="AB31" i="7"/>
  <c r="T43" i="7"/>
  <c r="AA55" i="7"/>
  <c r="AB7" i="7"/>
  <c r="V19" i="7"/>
  <c r="AC31" i="7"/>
  <c r="U43" i="7"/>
  <c r="AB55" i="7"/>
  <c r="V43" i="7"/>
  <c r="AC55" i="7"/>
  <c r="X19" i="7"/>
  <c r="S31" i="7"/>
  <c r="W43" i="7"/>
  <c r="W19" i="7"/>
  <c r="S7" i="7"/>
  <c r="Y19" i="7"/>
  <c r="T31" i="7"/>
  <c r="X43" i="7"/>
  <c r="S55" i="7"/>
  <c r="AC7" i="7"/>
  <c r="AJ20" i="7"/>
  <c r="S27" i="7"/>
  <c r="AA39" i="7"/>
  <c r="V15" i="7"/>
  <c r="AI32" i="7"/>
  <c r="AJ47" i="7"/>
  <c r="AJ61" i="7"/>
  <c r="W15" i="7"/>
  <c r="AK50" i="7"/>
  <c r="V63" i="7"/>
  <c r="W63" i="7"/>
  <c r="AK30" i="7"/>
  <c r="V51" i="7"/>
  <c r="AC6" i="7"/>
  <c r="Z39" i="7"/>
  <c r="W51" i="7"/>
  <c r="W3" i="7"/>
  <c r="AA16" i="7"/>
  <c r="S28" i="7"/>
  <c r="AB40" i="7"/>
  <c r="AA52" i="7"/>
  <c r="Y3" i="7"/>
  <c r="AB16" i="7"/>
  <c r="T28" i="7"/>
  <c r="AC40" i="7"/>
  <c r="AB52" i="7"/>
  <c r="AA3" i="7"/>
  <c r="AC16" i="7"/>
  <c r="U28" i="7"/>
  <c r="AK33" i="7"/>
  <c r="AC52" i="7"/>
  <c r="Z52" i="7"/>
  <c r="AK24" i="7"/>
  <c r="V28" i="7"/>
  <c r="S40" i="7"/>
  <c r="S16" i="7"/>
  <c r="W28" i="7"/>
  <c r="T40" i="7"/>
  <c r="S52" i="7"/>
  <c r="AJ60" i="7"/>
  <c r="T16" i="7"/>
  <c r="X28" i="7"/>
  <c r="U40" i="7"/>
  <c r="AK41" i="7"/>
  <c r="T52" i="7"/>
  <c r="U16" i="7"/>
  <c r="Y28" i="7"/>
  <c r="V40" i="7"/>
  <c r="U52" i="7"/>
  <c r="V16" i="7"/>
  <c r="Z28" i="7"/>
  <c r="AJ31" i="7"/>
  <c r="W40" i="7"/>
  <c r="V52" i="7"/>
  <c r="AJ59" i="7"/>
  <c r="W16" i="7"/>
  <c r="AA28" i="7"/>
  <c r="X40" i="7"/>
  <c r="W52" i="7"/>
  <c r="X16" i="7"/>
  <c r="AB28" i="7"/>
  <c r="Y40" i="7"/>
  <c r="X52" i="7"/>
  <c r="AC4" i="7"/>
  <c r="AJ3" i="7"/>
  <c r="U4" i="7"/>
  <c r="S17" i="7"/>
  <c r="X29" i="7"/>
  <c r="AJ40" i="7"/>
  <c r="X41" i="7"/>
  <c r="AJ41" i="7"/>
  <c r="AK42" i="7"/>
  <c r="AB53" i="7"/>
  <c r="W4" i="7"/>
  <c r="U17" i="7"/>
  <c r="AJ28" i="7"/>
  <c r="Z29" i="7"/>
  <c r="Z41" i="7"/>
  <c r="X4" i="7"/>
  <c r="V17" i="7"/>
  <c r="AA29" i="7"/>
  <c r="AA41" i="7"/>
  <c r="S53" i="7"/>
  <c r="AC53" i="7"/>
  <c r="Y4" i="7"/>
  <c r="W17" i="7"/>
  <c r="AK21" i="7"/>
  <c r="AJ25" i="7"/>
  <c r="AI26" i="7"/>
  <c r="AJ27" i="7"/>
  <c r="AB29" i="7"/>
  <c r="AB41" i="7"/>
  <c r="T53" i="7"/>
  <c r="AK59" i="7"/>
  <c r="Z4" i="7"/>
  <c r="X17" i="7"/>
  <c r="AJ24" i="7"/>
  <c r="AJ26" i="7"/>
  <c r="AK27" i="7"/>
  <c r="AC29" i="7"/>
  <c r="AC41" i="7"/>
  <c r="U53" i="7"/>
  <c r="Y17" i="7"/>
  <c r="V53" i="7"/>
  <c r="AK54" i="7"/>
  <c r="AB4" i="7"/>
  <c r="AJ11" i="7"/>
  <c r="Z17" i="7"/>
  <c r="AK20" i="7"/>
  <c r="S29" i="7"/>
  <c r="AJ30" i="7"/>
  <c r="S41" i="7"/>
  <c r="AK48" i="7"/>
  <c r="W53" i="7"/>
  <c r="AJ53" i="7"/>
  <c r="AA4" i="7"/>
  <c r="AA17" i="7"/>
  <c r="T29" i="7"/>
  <c r="T41" i="7"/>
  <c r="X53" i="7"/>
  <c r="AB17" i="7"/>
  <c r="U29" i="7"/>
  <c r="AK35" i="7"/>
  <c r="U41" i="7"/>
  <c r="Y53" i="7"/>
  <c r="Y41" i="7"/>
  <c r="S4" i="7"/>
  <c r="AJ14" i="7"/>
  <c r="AJ15" i="7"/>
  <c r="V29" i="7"/>
  <c r="V41" i="7"/>
  <c r="Z53" i="7"/>
  <c r="AJ62" i="7"/>
  <c r="AK62" i="7"/>
  <c r="U14" i="7"/>
  <c r="AK32" i="7"/>
  <c r="AK39" i="7"/>
  <c r="AI23" i="7"/>
  <c r="AI29" i="7"/>
  <c r="AJ58" i="7"/>
  <c r="AJ22" i="7"/>
  <c r="AJ23" i="7"/>
  <c r="AJ29" i="7"/>
  <c r="AI56" i="7"/>
  <c r="AJ57" i="7"/>
  <c r="AJ12" i="7"/>
  <c r="AJ13" i="7"/>
  <c r="AK23" i="7"/>
  <c r="AK26" i="7"/>
  <c r="AK29" i="7"/>
  <c r="AJ49" i="7"/>
  <c r="AI50" i="7"/>
  <c r="AJ55" i="7"/>
  <c r="AJ56" i="7"/>
  <c r="AK57" i="7"/>
  <c r="AI11" i="7"/>
  <c r="AK12" i="7"/>
  <c r="AI14" i="7"/>
  <c r="AI20" i="7"/>
  <c r="AJ21" i="7"/>
  <c r="AI47" i="7"/>
  <c r="AJ48" i="7"/>
  <c r="AI53" i="7"/>
  <c r="AJ54" i="7"/>
  <c r="AK56" i="7"/>
  <c r="AJ9" i="7"/>
  <c r="AJ19" i="7"/>
  <c r="AJ46" i="7"/>
  <c r="AJ52" i="7"/>
  <c r="AJ18" i="7"/>
  <c r="AK11" i="7"/>
  <c r="AK14" i="7"/>
  <c r="AJ16" i="7"/>
  <c r="AJ17" i="7"/>
  <c r="AK18" i="7"/>
  <c r="AI44" i="7"/>
  <c r="AJ45" i="7"/>
  <c r="AK47" i="7"/>
  <c r="AJ10" i="7"/>
  <c r="AI17" i="7"/>
  <c r="AI5" i="7"/>
  <c r="AI8" i="7"/>
  <c r="AK9" i="7"/>
  <c r="AJ4" i="7"/>
  <c r="AJ5" i="7"/>
  <c r="AJ6" i="7"/>
  <c r="AJ7" i="7"/>
  <c r="AJ8" i="7"/>
  <c r="AK15" i="7"/>
  <c r="AK17" i="7"/>
  <c r="AC26" i="7"/>
  <c r="AI35" i="7"/>
  <c r="AJ36" i="7"/>
  <c r="AJ37" i="7"/>
  <c r="AI38" i="7"/>
  <c r="AJ43" i="7"/>
  <c r="AJ44" i="7"/>
  <c r="AK45" i="7"/>
  <c r="AK51" i="7"/>
  <c r="AK5" i="7"/>
  <c r="AK6" i="7"/>
  <c r="AK8" i="7"/>
  <c r="AJ33" i="7"/>
  <c r="AJ34" i="7"/>
  <c r="AJ35" i="7"/>
  <c r="AK36" i="7"/>
  <c r="AJ38" i="7"/>
  <c r="AI62" i="7"/>
  <c r="W14" i="7"/>
  <c r="X15" i="7"/>
  <c r="S26" i="7"/>
  <c r="T27" i="7"/>
  <c r="AB38" i="7"/>
  <c r="AB39" i="7"/>
  <c r="X50" i="7"/>
  <c r="X51" i="7"/>
  <c r="W62" i="7"/>
  <c r="X63" i="7"/>
  <c r="Z38" i="7"/>
  <c r="X14" i="7"/>
  <c r="Y15" i="7"/>
  <c r="T26" i="7"/>
  <c r="U27" i="7"/>
  <c r="AC38" i="7"/>
  <c r="AC39" i="7"/>
  <c r="Y50" i="7"/>
  <c r="Y51" i="7"/>
  <c r="X62" i="7"/>
  <c r="Y63" i="7"/>
  <c r="Y14" i="7"/>
  <c r="Z15" i="7"/>
  <c r="U26" i="7"/>
  <c r="V27" i="7"/>
  <c r="Z50" i="7"/>
  <c r="Z51" i="7"/>
  <c r="Y62" i="7"/>
  <c r="Z63" i="7"/>
  <c r="V62" i="7"/>
  <c r="Z14" i="7"/>
  <c r="AA15" i="7"/>
  <c r="V26" i="7"/>
  <c r="W27" i="7"/>
  <c r="S38" i="7"/>
  <c r="S39" i="7"/>
  <c r="AA50" i="7"/>
  <c r="AA51" i="7"/>
  <c r="Z62" i="7"/>
  <c r="AA63" i="7"/>
  <c r="AA14" i="7"/>
  <c r="AB15" i="7"/>
  <c r="W26" i="7"/>
  <c r="X27" i="7"/>
  <c r="T38" i="7"/>
  <c r="T39" i="7"/>
  <c r="AB50" i="7"/>
  <c r="AB51" i="7"/>
  <c r="AA62" i="7"/>
  <c r="AB63" i="7"/>
  <c r="V14" i="7"/>
  <c r="AB14" i="7"/>
  <c r="AC15" i="7"/>
  <c r="X26" i="7"/>
  <c r="Y27" i="7"/>
  <c r="U38" i="7"/>
  <c r="U39" i="7"/>
  <c r="AC50" i="7"/>
  <c r="AC51" i="7"/>
  <c r="AB62" i="7"/>
  <c r="AC63" i="7"/>
  <c r="V50" i="7"/>
  <c r="U62" i="7"/>
  <c r="Y26" i="7"/>
  <c r="Z27" i="7"/>
  <c r="V38" i="7"/>
  <c r="V39" i="7"/>
  <c r="AC62" i="7"/>
  <c r="AA38" i="7"/>
  <c r="AC14" i="7"/>
  <c r="S15" i="7"/>
  <c r="Z26" i="7"/>
  <c r="AA27" i="7"/>
  <c r="W38" i="7"/>
  <c r="W39" i="7"/>
  <c r="S50" i="7"/>
  <c r="S51" i="7"/>
  <c r="S63" i="7"/>
  <c r="S14" i="7"/>
  <c r="T15" i="7"/>
  <c r="AA26" i="7"/>
  <c r="AB27" i="7"/>
  <c r="X38" i="7"/>
  <c r="X39" i="7"/>
  <c r="T50" i="7"/>
  <c r="T51" i="7"/>
  <c r="S62" i="7"/>
  <c r="T63" i="7"/>
  <c r="W50" i="7"/>
  <c r="S6" i="7"/>
  <c r="T6" i="7"/>
  <c r="U6" i="7"/>
  <c r="V6" i="7"/>
  <c r="W6" i="7"/>
  <c r="X6" i="7"/>
  <c r="Y6" i="7"/>
  <c r="Z6" i="7"/>
  <c r="AA6" i="7"/>
  <c r="AI6" i="7"/>
  <c r="AI9" i="7"/>
  <c r="AI12" i="7"/>
  <c r="AI15" i="7"/>
  <c r="AI18" i="7"/>
  <c r="AI21" i="7"/>
  <c r="AI24" i="7"/>
  <c r="AI27" i="7"/>
  <c r="AI30" i="7"/>
  <c r="AI33" i="7"/>
  <c r="AI36" i="7"/>
  <c r="AI39" i="7"/>
  <c r="AI42" i="7"/>
  <c r="AI45" i="7"/>
  <c r="AI48" i="7"/>
  <c r="AI51" i="7"/>
  <c r="AI54" i="7"/>
  <c r="AI57" i="7"/>
  <c r="AI60" i="7"/>
  <c r="AK60" i="7"/>
  <c r="AI4" i="7"/>
  <c r="AI7" i="7"/>
  <c r="AI10" i="7"/>
  <c r="AI13" i="7"/>
  <c r="AI16" i="7"/>
  <c r="AI19" i="7"/>
  <c r="AI22" i="7"/>
  <c r="AI25" i="7"/>
  <c r="AI28" i="7"/>
  <c r="AI31" i="7"/>
  <c r="AI34" i="7"/>
  <c r="AI37" i="7"/>
  <c r="AI40" i="7"/>
  <c r="AI43" i="7"/>
  <c r="AI46" i="7"/>
  <c r="AI49" i="7"/>
  <c r="AI52" i="7"/>
  <c r="AI55" i="7"/>
  <c r="AI58" i="7"/>
  <c r="AI61" i="7"/>
  <c r="AK3" i="7"/>
  <c r="AB3" i="7"/>
  <c r="AC3" i="7"/>
  <c r="S3" i="7"/>
  <c r="T3" i="7"/>
  <c r="U3" i="7"/>
  <c r="X3" i="7"/>
  <c r="C14" i="3" l="1"/>
  <c r="C51" i="3"/>
  <c r="C35" i="3"/>
  <c r="C15" i="3"/>
  <c r="C25" i="3"/>
  <c r="C11" i="3"/>
  <c r="C44" i="3"/>
  <c r="C18" i="3"/>
  <c r="C50" i="3"/>
  <c r="C52" i="3"/>
  <c r="C4" i="3"/>
  <c r="C23" i="3"/>
  <c r="C56" i="3"/>
  <c r="C30" i="3"/>
  <c r="C13" i="3"/>
  <c r="C28" i="3"/>
  <c r="C47" i="3"/>
  <c r="C21" i="3"/>
  <c r="C54" i="3"/>
  <c r="C27" i="3"/>
  <c r="C9" i="3"/>
  <c r="C42" i="3"/>
  <c r="C59" i="3"/>
  <c r="C33" i="3"/>
  <c r="C7" i="3"/>
  <c r="C16" i="3"/>
  <c r="C3" i="3"/>
  <c r="C57" i="3"/>
  <c r="C12" i="3"/>
  <c r="C45" i="3"/>
  <c r="C19" i="3"/>
  <c r="C39" i="3"/>
  <c r="C24" i="3"/>
  <c r="C60" i="3"/>
  <c r="C34" i="3"/>
  <c r="C8" i="3"/>
  <c r="C41" i="3"/>
  <c r="C32" i="3"/>
  <c r="C58" i="3"/>
  <c r="C6" i="3"/>
  <c r="C26" i="3"/>
  <c r="C46" i="3"/>
  <c r="C20" i="3"/>
  <c r="C53" i="3"/>
  <c r="C38" i="3"/>
  <c r="C48" i="3"/>
  <c r="C22" i="3"/>
  <c r="C29" i="3"/>
  <c r="C55" i="3"/>
  <c r="C36" i="3"/>
  <c r="C10" i="3"/>
  <c r="C43" i="3"/>
  <c r="C17" i="3"/>
  <c r="C31" i="3"/>
  <c r="C5" i="3"/>
  <c r="C40" i="3"/>
  <c r="C49" i="3"/>
  <c r="C37" i="3"/>
  <c r="AN43" i="7"/>
  <c r="AN7" i="7"/>
  <c r="AN59" i="7"/>
  <c r="AN16" i="7"/>
  <c r="AN44" i="7"/>
  <c r="AN40" i="7"/>
  <c r="AN17" i="7"/>
  <c r="AN45" i="7"/>
  <c r="AN26" i="7"/>
  <c r="AN36" i="7"/>
  <c r="AN34" i="7"/>
  <c r="AN50" i="7"/>
  <c r="AN10" i="7"/>
  <c r="AN18" i="7"/>
  <c r="AN48" i="7"/>
  <c r="AN30" i="7"/>
  <c r="AN56" i="7"/>
  <c r="AN41" i="7"/>
  <c r="AN54" i="7"/>
  <c r="AN53" i="7"/>
  <c r="AN38" i="7"/>
  <c r="AN22" i="7"/>
  <c r="AN8" i="7"/>
  <c r="AN5" i="7"/>
  <c r="AN32" i="7"/>
  <c r="AN3" i="7"/>
  <c r="AN62" i="7"/>
  <c r="AN4" i="7"/>
  <c r="AN42" i="7"/>
  <c r="AN28" i="7"/>
  <c r="AN46" i="7"/>
  <c r="AN33" i="7"/>
  <c r="AN47" i="7"/>
  <c r="AN19" i="7"/>
  <c r="AN15" i="7"/>
  <c r="AN13" i="7"/>
  <c r="AN27" i="7"/>
  <c r="AN23" i="7"/>
  <c r="AN58" i="7"/>
  <c r="AN20" i="7"/>
  <c r="AN52" i="7"/>
  <c r="AN25" i="7"/>
  <c r="AN61" i="7"/>
  <c r="AN31" i="7"/>
  <c r="AN24" i="7"/>
  <c r="AN29" i="7"/>
  <c r="AN6" i="7"/>
  <c r="AN55" i="7"/>
  <c r="AN49" i="7"/>
  <c r="AN37" i="7"/>
  <c r="AN35" i="7"/>
  <c r="AN14" i="7"/>
  <c r="AN11" i="7"/>
  <c r="AN51" i="7"/>
  <c r="AN60" i="7"/>
  <c r="AN12" i="7"/>
  <c r="AN39" i="7"/>
  <c r="AN21" i="7"/>
  <c r="AN57" i="7"/>
  <c r="AN9" i="7"/>
  <c r="AO99" i="7" l="1"/>
  <c r="AO67" i="7"/>
  <c r="AO95" i="7"/>
  <c r="AO79" i="7"/>
  <c r="AO66" i="7"/>
  <c r="AO70" i="7"/>
  <c r="AO98" i="7"/>
  <c r="AO69" i="7"/>
  <c r="AO64" i="7"/>
  <c r="AO65" i="7"/>
  <c r="AO72" i="7"/>
  <c r="AO76" i="7"/>
  <c r="AO68" i="7"/>
  <c r="AO75" i="7"/>
  <c r="AO82" i="7"/>
  <c r="AO71" i="7"/>
  <c r="AO78" i="7"/>
  <c r="AO85" i="7"/>
  <c r="AO74" i="7"/>
  <c r="AO81" i="7"/>
  <c r="AO88" i="7"/>
  <c r="AO77" i="7"/>
  <c r="AO101" i="7"/>
  <c r="AO84" i="7"/>
  <c r="AO91" i="7"/>
  <c r="AO80" i="7"/>
  <c r="AO87" i="7"/>
  <c r="AO94" i="7"/>
  <c r="AO83" i="7"/>
  <c r="AO90" i="7"/>
  <c r="AO97" i="7"/>
  <c r="AO86" i="7"/>
  <c r="AO93" i="7"/>
  <c r="AO100" i="7"/>
  <c r="AO89" i="7"/>
  <c r="AO73" i="7"/>
  <c r="AO96" i="7"/>
  <c r="AO92" i="7"/>
  <c r="AO58" i="7"/>
  <c r="AO40" i="7"/>
  <c r="AO22" i="7"/>
  <c r="AO5" i="7"/>
  <c r="AO53" i="7"/>
  <c r="AO57" i="7"/>
  <c r="AO48" i="7"/>
  <c r="AO39" i="7"/>
  <c r="AO30" i="7"/>
  <c r="AO21" i="7"/>
  <c r="AO12" i="7"/>
  <c r="AO4" i="7"/>
  <c r="AO35" i="7"/>
  <c r="AO56" i="7"/>
  <c r="AO38" i="7"/>
  <c r="AO20" i="7"/>
  <c r="AO3" i="7"/>
  <c r="AO25" i="7"/>
  <c r="AO55" i="7"/>
  <c r="AO47" i="7"/>
  <c r="AO37" i="7"/>
  <c r="AO29" i="7"/>
  <c r="AO19" i="7"/>
  <c r="AO11" i="7"/>
  <c r="AO8" i="7"/>
  <c r="AO46" i="7"/>
  <c r="AO28" i="7"/>
  <c r="AO10" i="7"/>
  <c r="AO43" i="7"/>
  <c r="AO54" i="7"/>
  <c r="AO45" i="7"/>
  <c r="AO36" i="7"/>
  <c r="AO27" i="7"/>
  <c r="AO18" i="7"/>
  <c r="AO9" i="7"/>
  <c r="AO17" i="7"/>
  <c r="AO62" i="7"/>
  <c r="AO44" i="7"/>
  <c r="AO26" i="7"/>
  <c r="AO61" i="7"/>
  <c r="AO52" i="7"/>
  <c r="AO34" i="7"/>
  <c r="AO16" i="7"/>
  <c r="AO7" i="7"/>
  <c r="AO23" i="7"/>
  <c r="AO60" i="7"/>
  <c r="AO51" i="7"/>
  <c r="AO42" i="7"/>
  <c r="AO33" i="7"/>
  <c r="AO24" i="7"/>
  <c r="AO15" i="7"/>
  <c r="AO63" i="7"/>
  <c r="AO50" i="7"/>
  <c r="AO32" i="7"/>
  <c r="AO14" i="7"/>
  <c r="AO6" i="7"/>
  <c r="AO59" i="7"/>
  <c r="AO49" i="7"/>
  <c r="AO41" i="7"/>
  <c r="AO31" i="7"/>
  <c r="AO13" i="7"/>
  <c r="P203" i="8" l="1" a="1"/>
  <c r="P203" i="8" s="1"/>
  <c r="Q163" i="8" a="1"/>
  <c r="Q163" i="8" s="1"/>
  <c r="P162" i="8" a="1"/>
  <c r="P162" i="8" s="1"/>
  <c r="J163" i="8" a="1"/>
  <c r="J163" i="8" s="1"/>
  <c r="U163" i="8" a="1"/>
  <c r="U163" i="8" s="1"/>
  <c r="T163" i="8" a="1"/>
  <c r="T163" i="8" s="1"/>
  <c r="I163" i="8" a="1"/>
  <c r="I163" i="8" s="1"/>
  <c r="S163" i="8" a="1"/>
  <c r="S163" i="8" s="1"/>
  <c r="H163" i="8" a="1"/>
  <c r="H163" i="8" s="1"/>
  <c r="R163" i="8" a="1"/>
  <c r="R163" i="8" s="1"/>
  <c r="G163" i="8" a="1"/>
  <c r="G163" i="8" s="1"/>
  <c r="F163" i="8" a="1"/>
  <c r="F163" i="8" s="1"/>
  <c r="O163" i="8" a="1"/>
  <c r="O163" i="8" s="1"/>
  <c r="N163" i="8" a="1"/>
  <c r="N163" i="8" s="1"/>
  <c r="E163" i="8" a="1"/>
  <c r="E163" i="8" s="1"/>
  <c r="M163" i="8" a="1"/>
  <c r="M163" i="8" s="1"/>
  <c r="L163" i="8" a="1"/>
  <c r="L163" i="8" s="1"/>
  <c r="V163" i="8" a="1"/>
  <c r="V163" i="8" s="1"/>
  <c r="B163" i="8" a="1"/>
  <c r="B163" i="8" s="1"/>
  <c r="K163" i="8" a="1"/>
  <c r="K163" i="8" s="1"/>
  <c r="P120" i="8" a="1"/>
  <c r="P120" i="8" s="1"/>
  <c r="Q121" i="8" a="1"/>
  <c r="Q121" i="8" s="1"/>
  <c r="O121" i="8" a="1"/>
  <c r="O121" i="8" s="1"/>
  <c r="G121" i="8" a="1"/>
  <c r="G121" i="8" s="1"/>
  <c r="N121" i="8" a="1"/>
  <c r="N121" i="8" s="1"/>
  <c r="E121" i="8" a="1"/>
  <c r="E121" i="8" s="1"/>
  <c r="V121" i="8" a="1"/>
  <c r="V121" i="8" s="1"/>
  <c r="M121" i="8" a="1"/>
  <c r="M121" i="8" s="1"/>
  <c r="U121" i="8" a="1"/>
  <c r="U121" i="8" s="1"/>
  <c r="L121" i="8" a="1"/>
  <c r="L121" i="8" s="1"/>
  <c r="S121" i="8" a="1"/>
  <c r="S121" i="8" s="1"/>
  <c r="J121" i="8" a="1"/>
  <c r="J121" i="8" s="1"/>
  <c r="I121" i="8" a="1"/>
  <c r="I121" i="8" s="1"/>
  <c r="H121" i="8" a="1"/>
  <c r="H121" i="8" s="1"/>
  <c r="F121" i="8" a="1"/>
  <c r="F121" i="8" s="1"/>
  <c r="B121" i="8" a="1"/>
  <c r="B121" i="8" s="1"/>
  <c r="T121" i="8" a="1"/>
  <c r="T121" i="8" s="1"/>
  <c r="R121" i="8" a="1"/>
  <c r="R121" i="8" s="1"/>
  <c r="K121" i="8" a="1"/>
  <c r="K121" i="8" s="1"/>
  <c r="P131" i="8" a="1"/>
  <c r="P131" i="8" s="1"/>
  <c r="Q132" i="8" a="1"/>
  <c r="Q132" i="8" s="1"/>
  <c r="N132" i="8" a="1"/>
  <c r="N132" i="8" s="1"/>
  <c r="E132" i="8" a="1"/>
  <c r="E132" i="8" s="1"/>
  <c r="M132" i="8" a="1"/>
  <c r="M132" i="8" s="1"/>
  <c r="V132" i="8" a="1"/>
  <c r="V132" i="8" s="1"/>
  <c r="L132" i="8" a="1"/>
  <c r="L132" i="8" s="1"/>
  <c r="K132" i="8" a="1"/>
  <c r="K132" i="8" s="1"/>
  <c r="B132" i="8" a="1"/>
  <c r="B132" i="8" s="1"/>
  <c r="U132" i="8" a="1"/>
  <c r="U132" i="8" s="1"/>
  <c r="J132" i="8" a="1"/>
  <c r="J132" i="8" s="1"/>
  <c r="T132" i="8" a="1"/>
  <c r="T132" i="8" s="1"/>
  <c r="I132" i="8" a="1"/>
  <c r="I132" i="8" s="1"/>
  <c r="S132" i="8" a="1"/>
  <c r="S132" i="8" s="1"/>
  <c r="R132" i="8" a="1"/>
  <c r="R132" i="8" s="1"/>
  <c r="H132" i="8" a="1"/>
  <c r="H132" i="8" s="1"/>
  <c r="O132" i="8" a="1"/>
  <c r="O132" i="8" s="1"/>
  <c r="G132" i="8" a="1"/>
  <c r="G132" i="8" s="1"/>
  <c r="F132" i="8" a="1"/>
  <c r="F132" i="8" s="1"/>
  <c r="Q124" i="8" a="1"/>
  <c r="Q124" i="8" s="1"/>
  <c r="P123" i="8" a="1"/>
  <c r="P123" i="8" s="1"/>
  <c r="T124" i="8" a="1"/>
  <c r="T124" i="8" s="1"/>
  <c r="I124" i="8" a="1"/>
  <c r="I124" i="8" s="1"/>
  <c r="S124" i="8" a="1"/>
  <c r="S124" i="8" s="1"/>
  <c r="R124" i="8" a="1"/>
  <c r="R124" i="8" s="1"/>
  <c r="H124" i="8" a="1"/>
  <c r="H124" i="8" s="1"/>
  <c r="O124" i="8" a="1"/>
  <c r="O124" i="8" s="1"/>
  <c r="G124" i="8" a="1"/>
  <c r="G124" i="8" s="1"/>
  <c r="N124" i="8" a="1"/>
  <c r="N124" i="8" s="1"/>
  <c r="F124" i="8" a="1"/>
  <c r="F124" i="8" s="1"/>
  <c r="M124" i="8" a="1"/>
  <c r="M124" i="8" s="1"/>
  <c r="L124" i="8" a="1"/>
  <c r="L124" i="8" s="1"/>
  <c r="E124" i="8" a="1"/>
  <c r="E124" i="8" s="1"/>
  <c r="B124" i="8" a="1"/>
  <c r="B124" i="8" s="1"/>
  <c r="V124" i="8" a="1"/>
  <c r="V124" i="8" s="1"/>
  <c r="U124" i="8" a="1"/>
  <c r="U124" i="8" s="1"/>
  <c r="K124" i="8" a="1"/>
  <c r="K124" i="8" s="1"/>
  <c r="J124" i="8" a="1"/>
  <c r="J124" i="8" s="1"/>
  <c r="V176" i="8" a="1"/>
  <c r="V176" i="8" s="1"/>
  <c r="J176" i="8" a="1"/>
  <c r="J176" i="8" s="1"/>
  <c r="U176" i="8" a="1"/>
  <c r="U176" i="8" s="1"/>
  <c r="I176" i="8" a="1"/>
  <c r="I176" i="8" s="1"/>
  <c r="Q176" i="8" a="1"/>
  <c r="Q176" i="8" s="1"/>
  <c r="T176" i="8" a="1"/>
  <c r="T176" i="8" s="1"/>
  <c r="H176" i="8" a="1"/>
  <c r="H176" i="8" s="1"/>
  <c r="S176" i="8" a="1"/>
  <c r="S176" i="8" s="1"/>
  <c r="G176" i="8" a="1"/>
  <c r="G176" i="8" s="1"/>
  <c r="R176" i="8" a="1"/>
  <c r="R176" i="8" s="1"/>
  <c r="F176" i="8" a="1"/>
  <c r="F176" i="8" s="1"/>
  <c r="P175" i="8" a="1"/>
  <c r="P175" i="8" s="1"/>
  <c r="O176" i="8" a="1"/>
  <c r="O176" i="8" s="1"/>
  <c r="N176" i="8" a="1"/>
  <c r="N176" i="8" s="1"/>
  <c r="E176" i="8" a="1"/>
  <c r="E176" i="8" s="1"/>
  <c r="M176" i="8" a="1"/>
  <c r="M176" i="8" s="1"/>
  <c r="B176" i="8" a="1"/>
  <c r="B176" i="8" s="1"/>
  <c r="L176" i="8" a="1"/>
  <c r="L176" i="8" s="1"/>
  <c r="K176" i="8" a="1"/>
  <c r="K176" i="8" s="1"/>
  <c r="G187" i="8" a="1"/>
  <c r="G187" i="8" s="1"/>
  <c r="N187" i="8" a="1"/>
  <c r="N187" i="8" s="1"/>
  <c r="F187" i="8" a="1"/>
  <c r="F187" i="8" s="1"/>
  <c r="M187" i="8" a="1"/>
  <c r="M187" i="8" s="1"/>
  <c r="V187" i="8" a="1"/>
  <c r="V187" i="8" s="1"/>
  <c r="L187" i="8" a="1"/>
  <c r="L187" i="8" s="1"/>
  <c r="E187" i="8" a="1"/>
  <c r="E187" i="8" s="1"/>
  <c r="Q187" i="8" a="1"/>
  <c r="Q187" i="8" s="1"/>
  <c r="U187" i="8" a="1"/>
  <c r="U187" i="8" s="1"/>
  <c r="K187" i="8" a="1"/>
  <c r="K187" i="8" s="1"/>
  <c r="B187" i="8" a="1"/>
  <c r="B187" i="8" s="1"/>
  <c r="P186" i="8" a="1"/>
  <c r="P186" i="8" s="1"/>
  <c r="T187" i="8" a="1"/>
  <c r="T187" i="8" s="1"/>
  <c r="J187" i="8" a="1"/>
  <c r="J187" i="8" s="1"/>
  <c r="S187" i="8" a="1"/>
  <c r="S187" i="8" s="1"/>
  <c r="R187" i="8" a="1"/>
  <c r="R187" i="8" s="1"/>
  <c r="I187" i="8" a="1"/>
  <c r="I187" i="8" s="1"/>
  <c r="O187" i="8" a="1"/>
  <c r="O187" i="8" s="1"/>
  <c r="H187" i="8" a="1"/>
  <c r="H187" i="8" s="1"/>
  <c r="Q179" i="8" a="1"/>
  <c r="Q179" i="8" s="1"/>
  <c r="R179" i="8" a="1"/>
  <c r="R179" i="8" s="1"/>
  <c r="H179" i="8" a="1"/>
  <c r="H179" i="8" s="1"/>
  <c r="O179" i="8" a="1"/>
  <c r="O179" i="8" s="1"/>
  <c r="N179" i="8" a="1"/>
  <c r="N179" i="8" s="1"/>
  <c r="G179" i="8" a="1"/>
  <c r="G179" i="8" s="1"/>
  <c r="P178" i="8" a="1"/>
  <c r="P178" i="8" s="1"/>
  <c r="M179" i="8" a="1"/>
  <c r="M179" i="8" s="1"/>
  <c r="F179" i="8" a="1"/>
  <c r="F179" i="8" s="1"/>
  <c r="V179" i="8" a="1"/>
  <c r="V179" i="8" s="1"/>
  <c r="L179" i="8" a="1"/>
  <c r="L179" i="8" s="1"/>
  <c r="E179" i="8" a="1"/>
  <c r="E179" i="8" s="1"/>
  <c r="U179" i="8" a="1"/>
  <c r="U179" i="8" s="1"/>
  <c r="B179" i="8" a="1"/>
  <c r="B179" i="8" s="1"/>
  <c r="T179" i="8" a="1"/>
  <c r="T179" i="8" s="1"/>
  <c r="K179" i="8" a="1"/>
  <c r="K179" i="8" s="1"/>
  <c r="I179" i="8" a="1"/>
  <c r="I179" i="8" s="1"/>
  <c r="S179" i="8" a="1"/>
  <c r="S179" i="8" s="1"/>
  <c r="J179" i="8" a="1"/>
  <c r="J179" i="8" s="1"/>
  <c r="O192" i="8" a="1"/>
  <c r="O192" i="8" s="1"/>
  <c r="G192" i="8" a="1"/>
  <c r="G192" i="8" s="1"/>
  <c r="N192" i="8" a="1"/>
  <c r="N192" i="8" s="1"/>
  <c r="P191" i="8" a="1"/>
  <c r="P191" i="8" s="1"/>
  <c r="F192" i="8" a="1"/>
  <c r="F192" i="8" s="1"/>
  <c r="M192" i="8" a="1"/>
  <c r="M192" i="8" s="1"/>
  <c r="E192" i="8" a="1"/>
  <c r="E192" i="8" s="1"/>
  <c r="V192" i="8" a="1"/>
  <c r="V192" i="8" s="1"/>
  <c r="L192" i="8" a="1"/>
  <c r="L192" i="8" s="1"/>
  <c r="B192" i="8" a="1"/>
  <c r="B192" i="8" s="1"/>
  <c r="U192" i="8" a="1"/>
  <c r="U192" i="8" s="1"/>
  <c r="T192" i="8" a="1"/>
  <c r="T192" i="8" s="1"/>
  <c r="K192" i="8" a="1"/>
  <c r="K192" i="8" s="1"/>
  <c r="J192" i="8" a="1"/>
  <c r="J192" i="8" s="1"/>
  <c r="S192" i="8" a="1"/>
  <c r="S192" i="8" s="1"/>
  <c r="I192" i="8" a="1"/>
  <c r="I192" i="8" s="1"/>
  <c r="Q192" i="8" a="1"/>
  <c r="Q192" i="8" s="1"/>
  <c r="R192" i="8" a="1"/>
  <c r="R192" i="8" s="1"/>
  <c r="H192" i="8" a="1"/>
  <c r="H192" i="8" s="1"/>
  <c r="U175" i="8" a="1"/>
  <c r="U175" i="8" s="1"/>
  <c r="K175" i="8" a="1"/>
  <c r="K175" i="8" s="1"/>
  <c r="B175" i="8" a="1"/>
  <c r="B175" i="8" s="1"/>
  <c r="T175" i="8" a="1"/>
  <c r="T175" i="8" s="1"/>
  <c r="J175" i="8" a="1"/>
  <c r="J175" i="8" s="1"/>
  <c r="S175" i="8" a="1"/>
  <c r="S175" i="8" s="1"/>
  <c r="Q175" i="8" a="1"/>
  <c r="Q175" i="8" s="1"/>
  <c r="R175" i="8" a="1"/>
  <c r="R175" i="8" s="1"/>
  <c r="I175" i="8" a="1"/>
  <c r="I175" i="8" s="1"/>
  <c r="O175" i="8" a="1"/>
  <c r="O175" i="8" s="1"/>
  <c r="H175" i="8" a="1"/>
  <c r="H175" i="8" s="1"/>
  <c r="P174" i="8" a="1"/>
  <c r="P174" i="8" s="1"/>
  <c r="G175" i="8" a="1"/>
  <c r="G175" i="8" s="1"/>
  <c r="N175" i="8" a="1"/>
  <c r="N175" i="8" s="1"/>
  <c r="F175" i="8" a="1"/>
  <c r="F175" i="8" s="1"/>
  <c r="M175" i="8" a="1"/>
  <c r="M175" i="8" s="1"/>
  <c r="V175" i="8" a="1"/>
  <c r="V175" i="8" s="1"/>
  <c r="L175" i="8" a="1"/>
  <c r="L175" i="8" s="1"/>
  <c r="E175" i="8" a="1"/>
  <c r="E175" i="8" s="1"/>
  <c r="Q162" i="8" a="1"/>
  <c r="Q162" i="8" s="1"/>
  <c r="P161" i="8" a="1"/>
  <c r="P161" i="8" s="1"/>
  <c r="M162" i="8" a="1"/>
  <c r="M162" i="8" s="1"/>
  <c r="L162" i="8" a="1"/>
  <c r="L162" i="8" s="1"/>
  <c r="B162" i="8" a="1"/>
  <c r="B162" i="8" s="1"/>
  <c r="V162" i="8" a="1"/>
  <c r="V162" i="8" s="1"/>
  <c r="K162" i="8" a="1"/>
  <c r="K162" i="8" s="1"/>
  <c r="U162" i="8" a="1"/>
  <c r="U162" i="8" s="1"/>
  <c r="J162" i="8" a="1"/>
  <c r="J162" i="8" s="1"/>
  <c r="T162" i="8" a="1"/>
  <c r="T162" i="8" s="1"/>
  <c r="I162" i="8" a="1"/>
  <c r="I162" i="8" s="1"/>
  <c r="S162" i="8" a="1"/>
  <c r="S162" i="8" s="1"/>
  <c r="H162" i="8" a="1"/>
  <c r="H162" i="8" s="1"/>
  <c r="R162" i="8" a="1"/>
  <c r="R162" i="8" s="1"/>
  <c r="G162" i="8" a="1"/>
  <c r="G162" i="8" s="1"/>
  <c r="F162" i="8" a="1"/>
  <c r="F162" i="8" s="1"/>
  <c r="O162" i="8" a="1"/>
  <c r="O162" i="8" s="1"/>
  <c r="N162" i="8" a="1"/>
  <c r="N162" i="8" s="1"/>
  <c r="E162" i="8" a="1"/>
  <c r="E162" i="8" s="1"/>
  <c r="P109" i="8" a="1"/>
  <c r="P109" i="8" s="1"/>
  <c r="Q110" i="8" a="1"/>
  <c r="Q110" i="8" s="1"/>
  <c r="T110" i="8" a="1"/>
  <c r="T110" i="8" s="1"/>
  <c r="I110" i="8" a="1"/>
  <c r="I110" i="8" s="1"/>
  <c r="S110" i="8" a="1"/>
  <c r="S110" i="8" s="1"/>
  <c r="H110" i="8" a="1"/>
  <c r="H110" i="8" s="1"/>
  <c r="F110" i="8" a="1"/>
  <c r="F110" i="8" s="1"/>
  <c r="N110" i="8" a="1"/>
  <c r="N110" i="8" s="1"/>
  <c r="M110" i="8" a="1"/>
  <c r="M110" i="8" s="1"/>
  <c r="B110" i="8" a="1"/>
  <c r="B110" i="8" s="1"/>
  <c r="J110" i="8" a="1"/>
  <c r="J110" i="8" s="1"/>
  <c r="V110" i="8" a="1"/>
  <c r="V110" i="8" s="1"/>
  <c r="G110" i="8" a="1"/>
  <c r="G110" i="8" s="1"/>
  <c r="U110" i="8" a="1"/>
  <c r="U110" i="8" s="1"/>
  <c r="R110" i="8" a="1"/>
  <c r="R110" i="8" s="1"/>
  <c r="O110" i="8" a="1"/>
  <c r="O110" i="8" s="1"/>
  <c r="L110" i="8" a="1"/>
  <c r="L110" i="8" s="1"/>
  <c r="K110" i="8" a="1"/>
  <c r="K110" i="8" s="1"/>
  <c r="E110" i="8" a="1"/>
  <c r="E110" i="8" s="1"/>
  <c r="Q139" i="8" a="1"/>
  <c r="Q139" i="8" s="1"/>
  <c r="P138" i="8" a="1"/>
  <c r="P138" i="8" s="1"/>
  <c r="L139" i="8" a="1"/>
  <c r="L139" i="8" s="1"/>
  <c r="U139" i="8" a="1"/>
  <c r="U139" i="8" s="1"/>
  <c r="I139" i="8" a="1"/>
  <c r="I139" i="8" s="1"/>
  <c r="T139" i="8" a="1"/>
  <c r="T139" i="8" s="1"/>
  <c r="H139" i="8" a="1"/>
  <c r="H139" i="8" s="1"/>
  <c r="O139" i="8" a="1"/>
  <c r="O139" i="8" s="1"/>
  <c r="N139" i="8" a="1"/>
  <c r="N139" i="8" s="1"/>
  <c r="M139" i="8" a="1"/>
  <c r="M139" i="8" s="1"/>
  <c r="K139" i="8" a="1"/>
  <c r="K139" i="8" s="1"/>
  <c r="J139" i="8" a="1"/>
  <c r="J139" i="8" s="1"/>
  <c r="G139" i="8" a="1"/>
  <c r="G139" i="8" s="1"/>
  <c r="F139" i="8" a="1"/>
  <c r="F139" i="8" s="1"/>
  <c r="E139" i="8" a="1"/>
  <c r="E139" i="8" s="1"/>
  <c r="B139" i="8" a="1"/>
  <c r="B139" i="8" s="1"/>
  <c r="S139" i="8" a="1"/>
  <c r="S139" i="8" s="1"/>
  <c r="V139" i="8" a="1"/>
  <c r="V139" i="8" s="1"/>
  <c r="R139" i="8" a="1"/>
  <c r="R139" i="8" s="1"/>
  <c r="Q150" i="8" a="1"/>
  <c r="Q150" i="8" s="1"/>
  <c r="P149" i="8" a="1"/>
  <c r="P149" i="8" s="1"/>
  <c r="L150" i="8" a="1"/>
  <c r="L150" i="8" s="1"/>
  <c r="B150" i="8" a="1"/>
  <c r="B150" i="8" s="1"/>
  <c r="K150" i="8" a="1"/>
  <c r="K150" i="8" s="1"/>
  <c r="V150" i="8" a="1"/>
  <c r="V150" i="8" s="1"/>
  <c r="J150" i="8" a="1"/>
  <c r="J150" i="8" s="1"/>
  <c r="U150" i="8" a="1"/>
  <c r="U150" i="8" s="1"/>
  <c r="T150" i="8" a="1"/>
  <c r="T150" i="8" s="1"/>
  <c r="I150" i="8" a="1"/>
  <c r="I150" i="8" s="1"/>
  <c r="S150" i="8" a="1"/>
  <c r="S150" i="8" s="1"/>
  <c r="H150" i="8" a="1"/>
  <c r="H150" i="8" s="1"/>
  <c r="R150" i="8" a="1"/>
  <c r="R150" i="8" s="1"/>
  <c r="G150" i="8" a="1"/>
  <c r="G150" i="8" s="1"/>
  <c r="O150" i="8" a="1"/>
  <c r="O150" i="8" s="1"/>
  <c r="F150" i="8" a="1"/>
  <c r="F150" i="8" s="1"/>
  <c r="N150" i="8" a="1"/>
  <c r="N150" i="8" s="1"/>
  <c r="M150" i="8" a="1"/>
  <c r="M150" i="8" s="1"/>
  <c r="E150" i="8" a="1"/>
  <c r="E150" i="8" s="1"/>
  <c r="Q142" i="8" a="1"/>
  <c r="Q142" i="8" s="1"/>
  <c r="P141" i="8" a="1"/>
  <c r="P141" i="8" s="1"/>
  <c r="T142" i="8" a="1"/>
  <c r="T142" i="8" s="1"/>
  <c r="K142" i="8" a="1"/>
  <c r="K142" i="8" s="1"/>
  <c r="B142" i="8" a="1"/>
  <c r="B142" i="8" s="1"/>
  <c r="S142" i="8" a="1"/>
  <c r="S142" i="8" s="1"/>
  <c r="I142" i="8" a="1"/>
  <c r="I142" i="8" s="1"/>
  <c r="R142" i="8" a="1"/>
  <c r="R142" i="8" s="1"/>
  <c r="H142" i="8" a="1"/>
  <c r="H142" i="8" s="1"/>
  <c r="O142" i="8" a="1"/>
  <c r="O142" i="8" s="1"/>
  <c r="M142" i="8" a="1"/>
  <c r="M142" i="8" s="1"/>
  <c r="L142" i="8" a="1"/>
  <c r="L142" i="8" s="1"/>
  <c r="J142" i="8" a="1"/>
  <c r="J142" i="8" s="1"/>
  <c r="G142" i="8" a="1"/>
  <c r="G142" i="8" s="1"/>
  <c r="F142" i="8" a="1"/>
  <c r="F142" i="8" s="1"/>
  <c r="V142" i="8" a="1"/>
  <c r="V142" i="8" s="1"/>
  <c r="E142" i="8" a="1"/>
  <c r="E142" i="8" s="1"/>
  <c r="U142" i="8" a="1"/>
  <c r="U142" i="8" s="1"/>
  <c r="N142" i="8" a="1"/>
  <c r="N142" i="8" s="1"/>
  <c r="Q203" i="8" a="1"/>
  <c r="Q203" i="8" s="1"/>
  <c r="O203" i="8" a="1"/>
  <c r="O203" i="8" s="1"/>
  <c r="F203" i="8" a="1"/>
  <c r="F203" i="8" s="1"/>
  <c r="N203" i="8" a="1"/>
  <c r="N203" i="8" s="1"/>
  <c r="M203" i="8" a="1"/>
  <c r="M203" i="8" s="1"/>
  <c r="E203" i="8" a="1"/>
  <c r="E203" i="8" s="1"/>
  <c r="P202" i="8" a="1"/>
  <c r="P202" i="8" s="1"/>
  <c r="B203" i="8" a="1"/>
  <c r="B203" i="8" s="1"/>
  <c r="L203" i="8" a="1"/>
  <c r="L203" i="8" s="1"/>
  <c r="V203" i="8" a="1"/>
  <c r="V203" i="8" s="1"/>
  <c r="K203" i="8" a="1"/>
  <c r="K203" i="8" s="1"/>
  <c r="U203" i="8" a="1"/>
  <c r="U203" i="8" s="1"/>
  <c r="J203" i="8" a="1"/>
  <c r="J203" i="8" s="1"/>
  <c r="T203" i="8" a="1"/>
  <c r="T203" i="8" s="1"/>
  <c r="I203" i="8" a="1"/>
  <c r="I203" i="8" s="1"/>
  <c r="S203" i="8" a="1"/>
  <c r="S203" i="8" s="1"/>
  <c r="H203" i="8" a="1"/>
  <c r="H203" i="8" s="1"/>
  <c r="R203" i="8" a="1"/>
  <c r="R203" i="8" s="1"/>
  <c r="G203" i="8" a="1"/>
  <c r="G203" i="8" s="1"/>
  <c r="N180" i="8" a="1"/>
  <c r="N180" i="8" s="1"/>
  <c r="F180" i="8" a="1"/>
  <c r="F180" i="8" s="1"/>
  <c r="P179" i="8" a="1"/>
  <c r="P179" i="8" s="1"/>
  <c r="M180" i="8" a="1"/>
  <c r="M180" i="8" s="1"/>
  <c r="E180" i="8" a="1"/>
  <c r="E180" i="8" s="1"/>
  <c r="V180" i="8" a="1"/>
  <c r="V180" i="8" s="1"/>
  <c r="L180" i="8" a="1"/>
  <c r="L180" i="8" s="1"/>
  <c r="B180" i="8" a="1"/>
  <c r="B180" i="8" s="1"/>
  <c r="U180" i="8" a="1"/>
  <c r="U180" i="8" s="1"/>
  <c r="T180" i="8" a="1"/>
  <c r="T180" i="8" s="1"/>
  <c r="K180" i="8" a="1"/>
  <c r="K180" i="8" s="1"/>
  <c r="J180" i="8" a="1"/>
  <c r="J180" i="8" s="1"/>
  <c r="S180" i="8" a="1"/>
  <c r="S180" i="8" s="1"/>
  <c r="I180" i="8" a="1"/>
  <c r="I180" i="8" s="1"/>
  <c r="H180" i="8" a="1"/>
  <c r="H180" i="8" s="1"/>
  <c r="Q180" i="8" a="1"/>
  <c r="Q180" i="8" s="1"/>
  <c r="O180" i="8" a="1"/>
  <c r="O180" i="8" s="1"/>
  <c r="G180" i="8" a="1"/>
  <c r="G180" i="8" s="1"/>
  <c r="R180" i="8" a="1"/>
  <c r="R180" i="8" s="1"/>
  <c r="P167" i="8" a="1"/>
  <c r="P167" i="8" s="1"/>
  <c r="Q168" i="8" a="1"/>
  <c r="Q168" i="8" s="1"/>
  <c r="F168" i="8" a="1"/>
  <c r="F168" i="8" s="1"/>
  <c r="M168" i="8" a="1"/>
  <c r="M168" i="8" s="1"/>
  <c r="E168" i="8" a="1"/>
  <c r="E168" i="8" s="1"/>
  <c r="V168" i="8" a="1"/>
  <c r="V168" i="8" s="1"/>
  <c r="L168" i="8" a="1"/>
  <c r="L168" i="8" s="1"/>
  <c r="U168" i="8" a="1"/>
  <c r="U168" i="8" s="1"/>
  <c r="B168" i="8" a="1"/>
  <c r="B168" i="8" s="1"/>
  <c r="T168" i="8" a="1"/>
  <c r="T168" i="8" s="1"/>
  <c r="K168" i="8" a="1"/>
  <c r="K168" i="8" s="1"/>
  <c r="J168" i="8" a="1"/>
  <c r="J168" i="8" s="1"/>
  <c r="S168" i="8" a="1"/>
  <c r="S168" i="8" s="1"/>
  <c r="I168" i="8" a="1"/>
  <c r="I168" i="8" s="1"/>
  <c r="H168" i="8" a="1"/>
  <c r="H168" i="8" s="1"/>
  <c r="R168" i="8" a="1"/>
  <c r="R168" i="8" s="1"/>
  <c r="G168" i="8" a="1"/>
  <c r="G168" i="8" s="1"/>
  <c r="O168" i="8" a="1"/>
  <c r="O168" i="8" s="1"/>
  <c r="N168" i="8" a="1"/>
  <c r="N168" i="8" s="1"/>
  <c r="Q117" i="8" a="1"/>
  <c r="Q117" i="8" s="1"/>
  <c r="P116" i="8" a="1"/>
  <c r="P116" i="8" s="1"/>
  <c r="L117" i="8" a="1"/>
  <c r="L117" i="8" s="1"/>
  <c r="V117" i="8" a="1"/>
  <c r="V117" i="8" s="1"/>
  <c r="J117" i="8" a="1"/>
  <c r="J117" i="8" s="1"/>
  <c r="T117" i="8" a="1"/>
  <c r="T117" i="8" s="1"/>
  <c r="S117" i="8" a="1"/>
  <c r="S117" i="8" s="1"/>
  <c r="H117" i="8" a="1"/>
  <c r="H117" i="8" s="1"/>
  <c r="N117" i="8" a="1"/>
  <c r="N117" i="8" s="1"/>
  <c r="E117" i="8" a="1"/>
  <c r="E117" i="8" s="1"/>
  <c r="R117" i="8" a="1"/>
  <c r="R117" i="8" s="1"/>
  <c r="O117" i="8" a="1"/>
  <c r="O117" i="8" s="1"/>
  <c r="M117" i="8" a="1"/>
  <c r="M117" i="8" s="1"/>
  <c r="K117" i="8" a="1"/>
  <c r="K117" i="8" s="1"/>
  <c r="I117" i="8" a="1"/>
  <c r="I117" i="8" s="1"/>
  <c r="G117" i="8" a="1"/>
  <c r="G117" i="8" s="1"/>
  <c r="F117" i="8" a="1"/>
  <c r="F117" i="8" s="1"/>
  <c r="B117" i="8" a="1"/>
  <c r="B117" i="8" s="1"/>
  <c r="U117" i="8" a="1"/>
  <c r="U117" i="8" s="1"/>
  <c r="Q119" i="8" a="1"/>
  <c r="Q119" i="8" s="1"/>
  <c r="P118" i="8" a="1"/>
  <c r="P118" i="8" s="1"/>
  <c r="V119" i="8" a="1"/>
  <c r="V119" i="8" s="1"/>
  <c r="L119" i="8" a="1"/>
  <c r="L119" i="8" s="1"/>
  <c r="B119" i="8" a="1"/>
  <c r="B119" i="8" s="1"/>
  <c r="T119" i="8" a="1"/>
  <c r="T119" i="8" s="1"/>
  <c r="J119" i="8" a="1"/>
  <c r="J119" i="8" s="1"/>
  <c r="S119" i="8" a="1"/>
  <c r="S119" i="8" s="1"/>
  <c r="I119" i="8" a="1"/>
  <c r="I119" i="8" s="1"/>
  <c r="H119" i="8" a="1"/>
  <c r="H119" i="8" s="1"/>
  <c r="E119" i="8" a="1"/>
  <c r="E119" i="8" s="1"/>
  <c r="O119" i="8" a="1"/>
  <c r="O119" i="8" s="1"/>
  <c r="N119" i="8" a="1"/>
  <c r="N119" i="8" s="1"/>
  <c r="M119" i="8" a="1"/>
  <c r="M119" i="8" s="1"/>
  <c r="K119" i="8" a="1"/>
  <c r="K119" i="8" s="1"/>
  <c r="U119" i="8" a="1"/>
  <c r="U119" i="8" s="1"/>
  <c r="G119" i="8" a="1"/>
  <c r="G119" i="8" s="1"/>
  <c r="F119" i="8" a="1"/>
  <c r="F119" i="8" s="1"/>
  <c r="R119" i="8" a="1"/>
  <c r="R119" i="8" s="1"/>
  <c r="Q148" i="8" a="1"/>
  <c r="Q148" i="8" s="1"/>
  <c r="P147" i="8" a="1"/>
  <c r="P147" i="8" s="1"/>
  <c r="R148" i="8" a="1"/>
  <c r="R148" i="8" s="1"/>
  <c r="G148" i="8" a="1"/>
  <c r="G148" i="8" s="1"/>
  <c r="O148" i="8" a="1"/>
  <c r="O148" i="8" s="1"/>
  <c r="F148" i="8" a="1"/>
  <c r="F148" i="8" s="1"/>
  <c r="N148" i="8" a="1"/>
  <c r="N148" i="8" s="1"/>
  <c r="B148" i="8" a="1"/>
  <c r="B148" i="8" s="1"/>
  <c r="M148" i="8" a="1"/>
  <c r="M148" i="8" s="1"/>
  <c r="V148" i="8" a="1"/>
  <c r="V148" i="8" s="1"/>
  <c r="L148" i="8" a="1"/>
  <c r="L148" i="8" s="1"/>
  <c r="K148" i="8" a="1"/>
  <c r="K148" i="8" s="1"/>
  <c r="U148" i="8" a="1"/>
  <c r="U148" i="8" s="1"/>
  <c r="J148" i="8" a="1"/>
  <c r="J148" i="8" s="1"/>
  <c r="T148" i="8" a="1"/>
  <c r="T148" i="8" s="1"/>
  <c r="I148" i="8" a="1"/>
  <c r="I148" i="8" s="1"/>
  <c r="H148" i="8" a="1"/>
  <c r="H148" i="8" s="1"/>
  <c r="E148" i="8" a="1"/>
  <c r="E148" i="8" s="1"/>
  <c r="S148" i="8" a="1"/>
  <c r="S148" i="8" s="1"/>
  <c r="P157" i="8" a="1"/>
  <c r="P157" i="8" s="1"/>
  <c r="Q158" i="8" a="1"/>
  <c r="Q158" i="8" s="1"/>
  <c r="H158" i="8" a="1"/>
  <c r="H158" i="8" s="1"/>
  <c r="R158" i="8" a="1"/>
  <c r="R158" i="8" s="1"/>
  <c r="G158" i="8" a="1"/>
  <c r="G158" i="8" s="1"/>
  <c r="O158" i="8" a="1"/>
  <c r="O158" i="8" s="1"/>
  <c r="F158" i="8" a="1"/>
  <c r="F158" i="8" s="1"/>
  <c r="E158" i="8" a="1"/>
  <c r="E158" i="8" s="1"/>
  <c r="N158" i="8" a="1"/>
  <c r="N158" i="8" s="1"/>
  <c r="B158" i="8" a="1"/>
  <c r="B158" i="8" s="1"/>
  <c r="V158" i="8" a="1"/>
  <c r="V158" i="8" s="1"/>
  <c r="M158" i="8" a="1"/>
  <c r="M158" i="8" s="1"/>
  <c r="U158" i="8" a="1"/>
  <c r="U158" i="8" s="1"/>
  <c r="L158" i="8" a="1"/>
  <c r="L158" i="8" s="1"/>
  <c r="K158" i="8" a="1"/>
  <c r="K158" i="8" s="1"/>
  <c r="T158" i="8" a="1"/>
  <c r="T158" i="8" s="1"/>
  <c r="J158" i="8" a="1"/>
  <c r="J158" i="8" s="1"/>
  <c r="S158" i="8" a="1"/>
  <c r="S158" i="8" s="1"/>
  <c r="I158" i="8" a="1"/>
  <c r="I158" i="8" s="1"/>
  <c r="Q151" i="8" a="1"/>
  <c r="Q151" i="8" s="1"/>
  <c r="P150" i="8" a="1"/>
  <c r="P150" i="8" s="1"/>
  <c r="N151" i="8" a="1"/>
  <c r="N151" i="8" s="1"/>
  <c r="E151" i="8" a="1"/>
  <c r="E151" i="8" s="1"/>
  <c r="M151" i="8" a="1"/>
  <c r="M151" i="8" s="1"/>
  <c r="B151" i="8" a="1"/>
  <c r="B151" i="8" s="1"/>
  <c r="L151" i="8" a="1"/>
  <c r="L151" i="8" s="1"/>
  <c r="K151" i="8" a="1"/>
  <c r="K151" i="8" s="1"/>
  <c r="V151" i="8" a="1"/>
  <c r="V151" i="8" s="1"/>
  <c r="J151" i="8" a="1"/>
  <c r="J151" i="8" s="1"/>
  <c r="U151" i="8" a="1"/>
  <c r="U151" i="8" s="1"/>
  <c r="I151" i="8" a="1"/>
  <c r="I151" i="8" s="1"/>
  <c r="T151" i="8" a="1"/>
  <c r="T151" i="8" s="1"/>
  <c r="H151" i="8" a="1"/>
  <c r="H151" i="8" s="1"/>
  <c r="S151" i="8" a="1"/>
  <c r="S151" i="8" s="1"/>
  <c r="G151" i="8" a="1"/>
  <c r="G151" i="8" s="1"/>
  <c r="F151" i="8" a="1"/>
  <c r="F151" i="8" s="1"/>
  <c r="R151" i="8" a="1"/>
  <c r="R151" i="8" s="1"/>
  <c r="O151" i="8" a="1"/>
  <c r="O151" i="8" s="1"/>
  <c r="N196" i="8" a="1"/>
  <c r="N196" i="8" s="1"/>
  <c r="M196" i="8" a="1"/>
  <c r="M196" i="8" s="1"/>
  <c r="V196" i="8" a="1"/>
  <c r="V196" i="8" s="1"/>
  <c r="L196" i="8" a="1"/>
  <c r="L196" i="8" s="1"/>
  <c r="B196" i="8" a="1"/>
  <c r="B196" i="8" s="1"/>
  <c r="K196" i="8" a="1"/>
  <c r="K196" i="8" s="1"/>
  <c r="U196" i="8" a="1"/>
  <c r="U196" i="8" s="1"/>
  <c r="J196" i="8" a="1"/>
  <c r="J196" i="8" s="1"/>
  <c r="T196" i="8" a="1"/>
  <c r="T196" i="8" s="1"/>
  <c r="I196" i="8" a="1"/>
  <c r="I196" i="8" s="1"/>
  <c r="Q196" i="8" a="1"/>
  <c r="Q196" i="8" s="1"/>
  <c r="S196" i="8" a="1"/>
  <c r="S196" i="8" s="1"/>
  <c r="R196" i="8" a="1"/>
  <c r="R196" i="8" s="1"/>
  <c r="H196" i="8" a="1"/>
  <c r="H196" i="8" s="1"/>
  <c r="G196" i="8" a="1"/>
  <c r="G196" i="8" s="1"/>
  <c r="E196" i="8" a="1"/>
  <c r="E196" i="8" s="1"/>
  <c r="O196" i="8" a="1"/>
  <c r="O196" i="8" s="1"/>
  <c r="P195" i="8" a="1"/>
  <c r="P195" i="8" s="1"/>
  <c r="F196" i="8" a="1"/>
  <c r="F196" i="8" s="1"/>
  <c r="Q191" i="8" a="1"/>
  <c r="Q191" i="8" s="1"/>
  <c r="I191" i="8" a="1"/>
  <c r="I191" i="8" s="1"/>
  <c r="R191" i="8" a="1"/>
  <c r="R191" i="8" s="1"/>
  <c r="H191" i="8" a="1"/>
  <c r="H191" i="8" s="1"/>
  <c r="O191" i="8" a="1"/>
  <c r="O191" i="8" s="1"/>
  <c r="P190" i="8" a="1"/>
  <c r="P190" i="8" s="1"/>
  <c r="N191" i="8" a="1"/>
  <c r="N191" i="8" s="1"/>
  <c r="G191" i="8" a="1"/>
  <c r="G191" i="8" s="1"/>
  <c r="M191" i="8" a="1"/>
  <c r="M191" i="8" s="1"/>
  <c r="F191" i="8" a="1"/>
  <c r="F191" i="8" s="1"/>
  <c r="V191" i="8" a="1"/>
  <c r="V191" i="8" s="1"/>
  <c r="L191" i="8" a="1"/>
  <c r="L191" i="8" s="1"/>
  <c r="E191" i="8" a="1"/>
  <c r="E191" i="8" s="1"/>
  <c r="U191" i="8" a="1"/>
  <c r="U191" i="8" s="1"/>
  <c r="B191" i="8" a="1"/>
  <c r="B191" i="8" s="1"/>
  <c r="T191" i="8" a="1"/>
  <c r="T191" i="8" s="1"/>
  <c r="K191" i="8" a="1"/>
  <c r="K191" i="8" s="1"/>
  <c r="S191" i="8" a="1"/>
  <c r="S191" i="8" s="1"/>
  <c r="J191" i="8" a="1"/>
  <c r="J191" i="8" s="1"/>
  <c r="Q167" i="8" a="1"/>
  <c r="Q167" i="8" s="1"/>
  <c r="P166" i="8" a="1"/>
  <c r="P166" i="8" s="1"/>
  <c r="R167" i="8" a="1"/>
  <c r="R167" i="8" s="1"/>
  <c r="H167" i="8" a="1"/>
  <c r="H167" i="8" s="1"/>
  <c r="O167" i="8" a="1"/>
  <c r="O167" i="8" s="1"/>
  <c r="N167" i="8" a="1"/>
  <c r="N167" i="8" s="1"/>
  <c r="G167" i="8" a="1"/>
  <c r="G167" i="8" s="1"/>
  <c r="M167" i="8" a="1"/>
  <c r="M167" i="8" s="1"/>
  <c r="F167" i="8" a="1"/>
  <c r="F167" i="8" s="1"/>
  <c r="V167" i="8" a="1"/>
  <c r="V167" i="8" s="1"/>
  <c r="L167" i="8" a="1"/>
  <c r="L167" i="8" s="1"/>
  <c r="E167" i="8" a="1"/>
  <c r="E167" i="8" s="1"/>
  <c r="U167" i="8" a="1"/>
  <c r="U167" i="8" s="1"/>
  <c r="B167" i="8" a="1"/>
  <c r="B167" i="8" s="1"/>
  <c r="T167" i="8" a="1"/>
  <c r="T167" i="8" s="1"/>
  <c r="K167" i="8" a="1"/>
  <c r="K167" i="8" s="1"/>
  <c r="S167" i="8" a="1"/>
  <c r="S167" i="8" s="1"/>
  <c r="J167" i="8" a="1"/>
  <c r="J167" i="8" s="1"/>
  <c r="I167" i="8" a="1"/>
  <c r="I167" i="8" s="1"/>
  <c r="Q126" i="8" a="1"/>
  <c r="Q126" i="8" s="1"/>
  <c r="P125" i="8" a="1"/>
  <c r="P125" i="8" s="1"/>
  <c r="R126" i="8" a="1"/>
  <c r="R126" i="8" s="1"/>
  <c r="H126" i="8" a="1"/>
  <c r="H126" i="8" s="1"/>
  <c r="O126" i="8" a="1"/>
  <c r="O126" i="8" s="1"/>
  <c r="G126" i="8" a="1"/>
  <c r="G126" i="8" s="1"/>
  <c r="N126" i="8" a="1"/>
  <c r="N126" i="8" s="1"/>
  <c r="M126" i="8" a="1"/>
  <c r="M126" i="8" s="1"/>
  <c r="F126" i="8" a="1"/>
  <c r="F126" i="8" s="1"/>
  <c r="L126" i="8" a="1"/>
  <c r="L126" i="8" s="1"/>
  <c r="E126" i="8" a="1"/>
  <c r="E126" i="8" s="1"/>
  <c r="V126" i="8" a="1"/>
  <c r="V126" i="8" s="1"/>
  <c r="B126" i="8" a="1"/>
  <c r="B126" i="8" s="1"/>
  <c r="U126" i="8" a="1"/>
  <c r="U126" i="8" s="1"/>
  <c r="K126" i="8" a="1"/>
  <c r="K126" i="8" s="1"/>
  <c r="S126" i="8" a="1"/>
  <c r="S126" i="8" s="1"/>
  <c r="T126" i="8" a="1"/>
  <c r="T126" i="8" s="1"/>
  <c r="J126" i="8" a="1"/>
  <c r="J126" i="8" s="1"/>
  <c r="I126" i="8" a="1"/>
  <c r="I126" i="8" s="1"/>
  <c r="Q137" i="8" a="1"/>
  <c r="Q137" i="8" s="1"/>
  <c r="P136" i="8" a="1"/>
  <c r="P136" i="8" s="1"/>
  <c r="O137" i="8" a="1"/>
  <c r="O137" i="8" s="1"/>
  <c r="F137" i="8" a="1"/>
  <c r="F137" i="8" s="1"/>
  <c r="N137" i="8" a="1"/>
  <c r="N137" i="8" s="1"/>
  <c r="E137" i="8" a="1"/>
  <c r="E137" i="8" s="1"/>
  <c r="L137" i="8" a="1"/>
  <c r="L137" i="8" s="1"/>
  <c r="V137" i="8" a="1"/>
  <c r="V137" i="8" s="1"/>
  <c r="K137" i="8" a="1"/>
  <c r="K137" i="8" s="1"/>
  <c r="S137" i="8" a="1"/>
  <c r="S137" i="8" s="1"/>
  <c r="I137" i="8" a="1"/>
  <c r="I137" i="8" s="1"/>
  <c r="R137" i="8" a="1"/>
  <c r="R137" i="8" s="1"/>
  <c r="M137" i="8" a="1"/>
  <c r="M137" i="8" s="1"/>
  <c r="J137" i="8" a="1"/>
  <c r="J137" i="8" s="1"/>
  <c r="H137" i="8" a="1"/>
  <c r="H137" i="8" s="1"/>
  <c r="G137" i="8" a="1"/>
  <c r="G137" i="8" s="1"/>
  <c r="U137" i="8" a="1"/>
  <c r="U137" i="8" s="1"/>
  <c r="T137" i="8" a="1"/>
  <c r="T137" i="8" s="1"/>
  <c r="B137" i="8" a="1"/>
  <c r="B137" i="8" s="1"/>
  <c r="P156" i="8" a="1"/>
  <c r="P156" i="8" s="1"/>
  <c r="S157" i="8" a="1"/>
  <c r="S157" i="8" s="1"/>
  <c r="R157" i="8" a="1"/>
  <c r="R157" i="8" s="1"/>
  <c r="H157" i="8" a="1"/>
  <c r="H157" i="8" s="1"/>
  <c r="O157" i="8" a="1"/>
  <c r="O157" i="8" s="1"/>
  <c r="Q157" i="8" a="1"/>
  <c r="Q157" i="8" s="1"/>
  <c r="G157" i="8" a="1"/>
  <c r="G157" i="8" s="1"/>
  <c r="N157" i="8" a="1"/>
  <c r="N157" i="8" s="1"/>
  <c r="F157" i="8" a="1"/>
  <c r="F157" i="8" s="1"/>
  <c r="E157" i="8" a="1"/>
  <c r="E157" i="8" s="1"/>
  <c r="V157" i="8" a="1"/>
  <c r="V157" i="8" s="1"/>
  <c r="M157" i="8" a="1"/>
  <c r="M157" i="8" s="1"/>
  <c r="L157" i="8" a="1"/>
  <c r="L157" i="8" s="1"/>
  <c r="U157" i="8" a="1"/>
  <c r="U157" i="8" s="1"/>
  <c r="K157" i="8" a="1"/>
  <c r="K157" i="8" s="1"/>
  <c r="B157" i="8" a="1"/>
  <c r="B157" i="8" s="1"/>
  <c r="J157" i="8" a="1"/>
  <c r="J157" i="8" s="1"/>
  <c r="T157" i="8" a="1"/>
  <c r="T157" i="8" s="1"/>
  <c r="I157" i="8" a="1"/>
  <c r="I157" i="8" s="1"/>
  <c r="Q128" i="8" a="1"/>
  <c r="Q128" i="8" s="1"/>
  <c r="P127" i="8" a="1"/>
  <c r="P127" i="8" s="1"/>
  <c r="S128" i="8" a="1"/>
  <c r="S128" i="8" s="1"/>
  <c r="I128" i="8" a="1"/>
  <c r="I128" i="8" s="1"/>
  <c r="H128" i="8" a="1"/>
  <c r="H128" i="8" s="1"/>
  <c r="R128" i="8" a="1"/>
  <c r="R128" i="8" s="1"/>
  <c r="G128" i="8" a="1"/>
  <c r="G128" i="8" s="1"/>
  <c r="O128" i="8" a="1"/>
  <c r="O128" i="8" s="1"/>
  <c r="N128" i="8" a="1"/>
  <c r="N128" i="8" s="1"/>
  <c r="F128" i="8" a="1"/>
  <c r="F128" i="8" s="1"/>
  <c r="E128" i="8" a="1"/>
  <c r="E128" i="8" s="1"/>
  <c r="V128" i="8" a="1"/>
  <c r="V128" i="8" s="1"/>
  <c r="M128" i="8" a="1"/>
  <c r="M128" i="8" s="1"/>
  <c r="B128" i="8" a="1"/>
  <c r="B128" i="8" s="1"/>
  <c r="T128" i="8" a="1"/>
  <c r="T128" i="8" s="1"/>
  <c r="K128" i="8" a="1"/>
  <c r="K128" i="8" s="1"/>
  <c r="U128" i="8" a="1"/>
  <c r="U128" i="8" s="1"/>
  <c r="L128" i="8" a="1"/>
  <c r="L128" i="8" s="1"/>
  <c r="J128" i="8" a="1"/>
  <c r="J128" i="8" s="1"/>
  <c r="Q160" i="8" a="1"/>
  <c r="Q160" i="8" s="1"/>
  <c r="N160" i="8" a="1"/>
  <c r="N160" i="8" s="1"/>
  <c r="E160" i="8" a="1"/>
  <c r="E160" i="8" s="1"/>
  <c r="V160" i="8" a="1"/>
  <c r="V160" i="8" s="1"/>
  <c r="M160" i="8" a="1"/>
  <c r="M160" i="8" s="1"/>
  <c r="B160" i="8" a="1"/>
  <c r="B160" i="8" s="1"/>
  <c r="L160" i="8" a="1"/>
  <c r="L160" i="8" s="1"/>
  <c r="U160" i="8" a="1"/>
  <c r="U160" i="8" s="1"/>
  <c r="K160" i="8" a="1"/>
  <c r="K160" i="8" s="1"/>
  <c r="J160" i="8" a="1"/>
  <c r="J160" i="8" s="1"/>
  <c r="T160" i="8" a="1"/>
  <c r="T160" i="8" s="1"/>
  <c r="S160" i="8" a="1"/>
  <c r="S160" i="8" s="1"/>
  <c r="I160" i="8" a="1"/>
  <c r="I160" i="8" s="1"/>
  <c r="R160" i="8" a="1"/>
  <c r="R160" i="8" s="1"/>
  <c r="H160" i="8" a="1"/>
  <c r="H160" i="8" s="1"/>
  <c r="P159" i="8" a="1"/>
  <c r="P159" i="8" s="1"/>
  <c r="O160" i="8" a="1"/>
  <c r="O160" i="8" s="1"/>
  <c r="G160" i="8" a="1"/>
  <c r="G160" i="8" s="1"/>
  <c r="F160" i="8" a="1"/>
  <c r="F160" i="8" s="1"/>
  <c r="U189" i="8" a="1"/>
  <c r="U189" i="8" s="1"/>
  <c r="K189" i="8" a="1"/>
  <c r="K189" i="8" s="1"/>
  <c r="T189" i="8" a="1"/>
  <c r="T189" i="8" s="1"/>
  <c r="B189" i="8" a="1"/>
  <c r="B189" i="8" s="1"/>
  <c r="Q189" i="8" a="1"/>
  <c r="Q189" i="8" s="1"/>
  <c r="S189" i="8" a="1"/>
  <c r="S189" i="8" s="1"/>
  <c r="J189" i="8" a="1"/>
  <c r="J189" i="8" s="1"/>
  <c r="R189" i="8" a="1"/>
  <c r="R189" i="8" s="1"/>
  <c r="I189" i="8" a="1"/>
  <c r="I189" i="8" s="1"/>
  <c r="P188" i="8" a="1"/>
  <c r="P188" i="8" s="1"/>
  <c r="H189" i="8" a="1"/>
  <c r="H189" i="8" s="1"/>
  <c r="O189" i="8" a="1"/>
  <c r="O189" i="8" s="1"/>
  <c r="G189" i="8" a="1"/>
  <c r="G189" i="8" s="1"/>
  <c r="N189" i="8" a="1"/>
  <c r="N189" i="8" s="1"/>
  <c r="M189" i="8" a="1"/>
  <c r="M189" i="8" s="1"/>
  <c r="F189" i="8" a="1"/>
  <c r="F189" i="8" s="1"/>
  <c r="E189" i="8" a="1"/>
  <c r="E189" i="8" s="1"/>
  <c r="V189" i="8" a="1"/>
  <c r="V189" i="8" s="1"/>
  <c r="L189" i="8" a="1"/>
  <c r="L189" i="8" s="1"/>
  <c r="E184" i="8" a="1"/>
  <c r="E184" i="8" s="1"/>
  <c r="N184" i="8" a="1"/>
  <c r="N184" i="8" s="1"/>
  <c r="V184" i="8" a="1"/>
  <c r="V184" i="8" s="1"/>
  <c r="M184" i="8" a="1"/>
  <c r="M184" i="8" s="1"/>
  <c r="L184" i="8" a="1"/>
  <c r="L184" i="8" s="1"/>
  <c r="B184" i="8" a="1"/>
  <c r="B184" i="8" s="1"/>
  <c r="U184" i="8" a="1"/>
  <c r="U184" i="8" s="1"/>
  <c r="K184" i="8" a="1"/>
  <c r="K184" i="8" s="1"/>
  <c r="J184" i="8" a="1"/>
  <c r="J184" i="8" s="1"/>
  <c r="T184" i="8" a="1"/>
  <c r="T184" i="8" s="1"/>
  <c r="Q184" i="8" a="1"/>
  <c r="Q184" i="8" s="1"/>
  <c r="I184" i="8" a="1"/>
  <c r="I184" i="8" s="1"/>
  <c r="S184" i="8" a="1"/>
  <c r="S184" i="8" s="1"/>
  <c r="R184" i="8" a="1"/>
  <c r="R184" i="8" s="1"/>
  <c r="H184" i="8" a="1"/>
  <c r="H184" i="8" s="1"/>
  <c r="O184" i="8" a="1"/>
  <c r="O184" i="8" s="1"/>
  <c r="F184" i="8" a="1"/>
  <c r="F184" i="8" s="1"/>
  <c r="P183" i="8" a="1"/>
  <c r="P183" i="8" s="1"/>
  <c r="G184" i="8" a="1"/>
  <c r="G184" i="8" s="1"/>
  <c r="Q172" i="8" a="1"/>
  <c r="Q172" i="8" s="1"/>
  <c r="U172" i="8" a="1"/>
  <c r="U172" i="8" s="1"/>
  <c r="K172" i="8" a="1"/>
  <c r="K172" i="8" s="1"/>
  <c r="J172" i="8" a="1"/>
  <c r="J172" i="8" s="1"/>
  <c r="T172" i="8" a="1"/>
  <c r="T172" i="8" s="1"/>
  <c r="I172" i="8" a="1"/>
  <c r="I172" i="8" s="1"/>
  <c r="S172" i="8" a="1"/>
  <c r="S172" i="8" s="1"/>
  <c r="R172" i="8" a="1"/>
  <c r="R172" i="8" s="1"/>
  <c r="H172" i="8" a="1"/>
  <c r="H172" i="8" s="1"/>
  <c r="G172" i="8" a="1"/>
  <c r="G172" i="8" s="1"/>
  <c r="O172" i="8" a="1"/>
  <c r="O172" i="8" s="1"/>
  <c r="F172" i="8" a="1"/>
  <c r="F172" i="8" s="1"/>
  <c r="E172" i="8" a="1"/>
  <c r="E172" i="8" s="1"/>
  <c r="N172" i="8" a="1"/>
  <c r="N172" i="8" s="1"/>
  <c r="P171" i="8" a="1"/>
  <c r="P171" i="8" s="1"/>
  <c r="V172" i="8" a="1"/>
  <c r="V172" i="8" s="1"/>
  <c r="M172" i="8" a="1"/>
  <c r="M172" i="8" s="1"/>
  <c r="L172" i="8" a="1"/>
  <c r="L172" i="8" s="1"/>
  <c r="B172" i="8" a="1"/>
  <c r="B172" i="8" s="1"/>
  <c r="P132" i="8" a="1"/>
  <c r="P132" i="8" s="1"/>
  <c r="Q133" i="8" a="1"/>
  <c r="Q133" i="8" s="1"/>
  <c r="V133" i="8" a="1"/>
  <c r="V133" i="8" s="1"/>
  <c r="M133" i="8" a="1"/>
  <c r="M133" i="8" s="1"/>
  <c r="B133" i="8" a="1"/>
  <c r="B133" i="8" s="1"/>
  <c r="U133" i="8" a="1"/>
  <c r="U133" i="8" s="1"/>
  <c r="L133" i="8" a="1"/>
  <c r="L133" i="8" s="1"/>
  <c r="K133" i="8" a="1"/>
  <c r="K133" i="8" s="1"/>
  <c r="T133" i="8" a="1"/>
  <c r="T133" i="8" s="1"/>
  <c r="J133" i="8" a="1"/>
  <c r="J133" i="8" s="1"/>
  <c r="S133" i="8" a="1"/>
  <c r="S133" i="8" s="1"/>
  <c r="I133" i="8" a="1"/>
  <c r="I133" i="8" s="1"/>
  <c r="R133" i="8" a="1"/>
  <c r="R133" i="8" s="1"/>
  <c r="H133" i="8" a="1"/>
  <c r="H133" i="8" s="1"/>
  <c r="O133" i="8" a="1"/>
  <c r="O133" i="8" s="1"/>
  <c r="N133" i="8" a="1"/>
  <c r="N133" i="8" s="1"/>
  <c r="F133" i="8" a="1"/>
  <c r="F133" i="8" s="1"/>
  <c r="G133" i="8" a="1"/>
  <c r="G133" i="8" s="1"/>
  <c r="E133" i="8" a="1"/>
  <c r="E133" i="8" s="1"/>
  <c r="Q155" i="8" a="1"/>
  <c r="Q155" i="8" s="1"/>
  <c r="P154" i="8" a="1"/>
  <c r="P154" i="8" s="1"/>
  <c r="U155" i="8" a="1"/>
  <c r="U155" i="8" s="1"/>
  <c r="L155" i="8" a="1"/>
  <c r="L155" i="8" s="1"/>
  <c r="T155" i="8" a="1"/>
  <c r="T155" i="8" s="1"/>
  <c r="K155" i="8" a="1"/>
  <c r="K155" i="8" s="1"/>
  <c r="J155" i="8" a="1"/>
  <c r="J155" i="8" s="1"/>
  <c r="S155" i="8" a="1"/>
  <c r="S155" i="8" s="1"/>
  <c r="I155" i="8" a="1"/>
  <c r="I155" i="8" s="1"/>
  <c r="H155" i="8" a="1"/>
  <c r="H155" i="8" s="1"/>
  <c r="R155" i="8" a="1"/>
  <c r="R155" i="8" s="1"/>
  <c r="O155" i="8" a="1"/>
  <c r="O155" i="8" s="1"/>
  <c r="G155" i="8" a="1"/>
  <c r="G155" i="8" s="1"/>
  <c r="N155" i="8" a="1"/>
  <c r="N155" i="8" s="1"/>
  <c r="F155" i="8" a="1"/>
  <c r="F155" i="8" s="1"/>
  <c r="V155" i="8" a="1"/>
  <c r="V155" i="8" s="1"/>
  <c r="M155" i="8" a="1"/>
  <c r="M155" i="8" s="1"/>
  <c r="E155" i="8" a="1"/>
  <c r="E155" i="8" s="1"/>
  <c r="B155" i="8" a="1"/>
  <c r="B155" i="8" s="1"/>
  <c r="P145" i="8" a="1"/>
  <c r="P145" i="8" s="1"/>
  <c r="Q146" i="8" a="1"/>
  <c r="Q146" i="8" s="1"/>
  <c r="S146" i="8" a="1"/>
  <c r="S146" i="8" s="1"/>
  <c r="H146" i="8" a="1"/>
  <c r="H146" i="8" s="1"/>
  <c r="R146" i="8" a="1"/>
  <c r="R146" i="8" s="1"/>
  <c r="O146" i="8" a="1"/>
  <c r="O146" i="8" s="1"/>
  <c r="F146" i="8" a="1"/>
  <c r="F146" i="8" s="1"/>
  <c r="M146" i="8" a="1"/>
  <c r="M146" i="8" s="1"/>
  <c r="L146" i="8" a="1"/>
  <c r="L146" i="8" s="1"/>
  <c r="B146" i="8" a="1"/>
  <c r="B146" i="8" s="1"/>
  <c r="J146" i="8" a="1"/>
  <c r="J146" i="8" s="1"/>
  <c r="I146" i="8" a="1"/>
  <c r="I146" i="8" s="1"/>
  <c r="G146" i="8" a="1"/>
  <c r="G146" i="8" s="1"/>
  <c r="E146" i="8" a="1"/>
  <c r="E146" i="8" s="1"/>
  <c r="V146" i="8" a="1"/>
  <c r="V146" i="8" s="1"/>
  <c r="U146" i="8" a="1"/>
  <c r="U146" i="8" s="1"/>
  <c r="T146" i="8" a="1"/>
  <c r="T146" i="8" s="1"/>
  <c r="K146" i="8" a="1"/>
  <c r="K146" i="8" s="1"/>
  <c r="N146" i="8" a="1"/>
  <c r="N146" i="8" s="1"/>
  <c r="Q106" i="8" a="1"/>
  <c r="Q106" i="8" s="1"/>
  <c r="K106" i="8" a="1"/>
  <c r="K106" i="8" s="1"/>
  <c r="G106" i="8" a="1"/>
  <c r="G106" i="8" s="1"/>
  <c r="O106" i="8" a="1"/>
  <c r="O106" i="8" s="1"/>
  <c r="R106" i="8" a="1"/>
  <c r="R106" i="8" s="1"/>
  <c r="N106" i="8" a="1"/>
  <c r="N106" i="8" s="1"/>
  <c r="H106" i="8" a="1"/>
  <c r="H106" i="8" s="1"/>
  <c r="I106" i="8" a="1"/>
  <c r="I106" i="8" s="1"/>
  <c r="J106" i="8" a="1"/>
  <c r="J106" i="8" s="1"/>
  <c r="L106" i="8" a="1"/>
  <c r="L106" i="8" s="1"/>
  <c r="M106" i="8" a="1"/>
  <c r="M106" i="8" s="1"/>
  <c r="P155" i="8" a="1"/>
  <c r="P155" i="8" s="1"/>
  <c r="Q156" i="8" a="1"/>
  <c r="Q156" i="8" s="1"/>
  <c r="T156" i="8" a="1"/>
  <c r="T156" i="8" s="1"/>
  <c r="K156" i="8" a="1"/>
  <c r="K156" i="8" s="1"/>
  <c r="J156" i="8" a="1"/>
  <c r="J156" i="8" s="1"/>
  <c r="S156" i="8" a="1"/>
  <c r="S156" i="8" s="1"/>
  <c r="I156" i="8" a="1"/>
  <c r="I156" i="8" s="1"/>
  <c r="R156" i="8" a="1"/>
  <c r="R156" i="8" s="1"/>
  <c r="H156" i="8" a="1"/>
  <c r="H156" i="8" s="1"/>
  <c r="O156" i="8" a="1"/>
  <c r="O156" i="8" s="1"/>
  <c r="G156" i="8" a="1"/>
  <c r="G156" i="8" s="1"/>
  <c r="N156" i="8" a="1"/>
  <c r="N156" i="8" s="1"/>
  <c r="F156" i="8" a="1"/>
  <c r="F156" i="8" s="1"/>
  <c r="V156" i="8" a="1"/>
  <c r="V156" i="8" s="1"/>
  <c r="M156" i="8" a="1"/>
  <c r="M156" i="8" s="1"/>
  <c r="E156" i="8" a="1"/>
  <c r="E156" i="8" s="1"/>
  <c r="U156" i="8" a="1"/>
  <c r="U156" i="8" s="1"/>
  <c r="L156" i="8" a="1"/>
  <c r="L156" i="8" s="1"/>
  <c r="B156" i="8" a="1"/>
  <c r="B156" i="8" s="1"/>
  <c r="R200" i="8" a="1"/>
  <c r="R200" i="8" s="1"/>
  <c r="O200" i="8" a="1"/>
  <c r="O200" i="8" s="1"/>
  <c r="E200" i="8" a="1"/>
  <c r="E200" i="8" s="1"/>
  <c r="N200" i="8" a="1"/>
  <c r="N200" i="8" s="1"/>
  <c r="B200" i="8" a="1"/>
  <c r="B200" i="8" s="1"/>
  <c r="Q200" i="8" a="1"/>
  <c r="Q200" i="8" s="1"/>
  <c r="M200" i="8" a="1"/>
  <c r="M200" i="8" s="1"/>
  <c r="L200" i="8" a="1"/>
  <c r="L200" i="8" s="1"/>
  <c r="P199" i="8" a="1"/>
  <c r="P199" i="8" s="1"/>
  <c r="K200" i="8" a="1"/>
  <c r="K200" i="8" s="1"/>
  <c r="V200" i="8" a="1"/>
  <c r="V200" i="8" s="1"/>
  <c r="J200" i="8" a="1"/>
  <c r="J200" i="8" s="1"/>
  <c r="I200" i="8" a="1"/>
  <c r="I200" i="8" s="1"/>
  <c r="U200" i="8" a="1"/>
  <c r="U200" i="8" s="1"/>
  <c r="H200" i="8" a="1"/>
  <c r="H200" i="8" s="1"/>
  <c r="S200" i="8" a="1"/>
  <c r="S200" i="8" s="1"/>
  <c r="F200" i="8" a="1"/>
  <c r="F200" i="8" s="1"/>
  <c r="T200" i="8" a="1"/>
  <c r="T200" i="8" s="1"/>
  <c r="G200" i="8" a="1"/>
  <c r="G200" i="8" s="1"/>
  <c r="S177" i="8" a="1"/>
  <c r="S177" i="8" s="1"/>
  <c r="J177" i="8" a="1"/>
  <c r="J177" i="8" s="1"/>
  <c r="Q177" i="8" a="1"/>
  <c r="Q177" i="8" s="1"/>
  <c r="R177" i="8" a="1"/>
  <c r="R177" i="8" s="1"/>
  <c r="I177" i="8" a="1"/>
  <c r="I177" i="8" s="1"/>
  <c r="H177" i="8" a="1"/>
  <c r="H177" i="8" s="1"/>
  <c r="O177" i="8" a="1"/>
  <c r="O177" i="8" s="1"/>
  <c r="G177" i="8" a="1"/>
  <c r="G177" i="8" s="1"/>
  <c r="P176" i="8" a="1"/>
  <c r="P176" i="8" s="1"/>
  <c r="N177" i="8" a="1"/>
  <c r="N177" i="8" s="1"/>
  <c r="M177" i="8" a="1"/>
  <c r="M177" i="8" s="1"/>
  <c r="F177" i="8" a="1"/>
  <c r="F177" i="8" s="1"/>
  <c r="V177" i="8" a="1"/>
  <c r="V177" i="8" s="1"/>
  <c r="L177" i="8" a="1"/>
  <c r="L177" i="8" s="1"/>
  <c r="E177" i="8" a="1"/>
  <c r="E177" i="8" s="1"/>
  <c r="T177" i="8" a="1"/>
  <c r="T177" i="8" s="1"/>
  <c r="U177" i="8" a="1"/>
  <c r="U177" i="8" s="1"/>
  <c r="K177" i="8" a="1"/>
  <c r="K177" i="8" s="1"/>
  <c r="B177" i="8" a="1"/>
  <c r="B177" i="8" s="1"/>
  <c r="O201" i="8" a="1"/>
  <c r="O201" i="8" s="1"/>
  <c r="F201" i="8" a="1"/>
  <c r="F201" i="8" s="1"/>
  <c r="N201" i="8" a="1"/>
  <c r="N201" i="8" s="1"/>
  <c r="Q201" i="8" a="1"/>
  <c r="Q201" i="8" s="1"/>
  <c r="M201" i="8" a="1"/>
  <c r="M201" i="8" s="1"/>
  <c r="E201" i="8" a="1"/>
  <c r="E201" i="8" s="1"/>
  <c r="L201" i="8" a="1"/>
  <c r="L201" i="8" s="1"/>
  <c r="V201" i="8" a="1"/>
  <c r="V201" i="8" s="1"/>
  <c r="P200" i="8" a="1"/>
  <c r="P200" i="8" s="1"/>
  <c r="K201" i="8" a="1"/>
  <c r="K201" i="8" s="1"/>
  <c r="B201" i="8" a="1"/>
  <c r="B201" i="8" s="1"/>
  <c r="U201" i="8" a="1"/>
  <c r="U201" i="8" s="1"/>
  <c r="T201" i="8" a="1"/>
  <c r="T201" i="8" s="1"/>
  <c r="J201" i="8" a="1"/>
  <c r="J201" i="8" s="1"/>
  <c r="S201" i="8" a="1"/>
  <c r="S201" i="8" s="1"/>
  <c r="I201" i="8" a="1"/>
  <c r="I201" i="8" s="1"/>
  <c r="G201" i="8" a="1"/>
  <c r="G201" i="8" s="1"/>
  <c r="R201" i="8" a="1"/>
  <c r="R201" i="8" s="1"/>
  <c r="H201" i="8" a="1"/>
  <c r="H201" i="8" s="1"/>
  <c r="Q135" i="8" a="1"/>
  <c r="Q135" i="8" s="1"/>
  <c r="P134" i="8" a="1"/>
  <c r="P134" i="8" s="1"/>
  <c r="S135" i="8" a="1"/>
  <c r="S135" i="8" s="1"/>
  <c r="R135" i="8" a="1"/>
  <c r="R135" i="8" s="1"/>
  <c r="H135" i="8" a="1"/>
  <c r="H135" i="8" s="1"/>
  <c r="G135" i="8" a="1"/>
  <c r="G135" i="8" s="1"/>
  <c r="O135" i="8" a="1"/>
  <c r="O135" i="8" s="1"/>
  <c r="F135" i="8" a="1"/>
  <c r="F135" i="8" s="1"/>
  <c r="E135" i="8" a="1"/>
  <c r="E135" i="8" s="1"/>
  <c r="N135" i="8" a="1"/>
  <c r="N135" i="8" s="1"/>
  <c r="M135" i="8" a="1"/>
  <c r="M135" i="8" s="1"/>
  <c r="V135" i="8" a="1"/>
  <c r="V135" i="8" s="1"/>
  <c r="L135" i="8" a="1"/>
  <c r="L135" i="8" s="1"/>
  <c r="B135" i="8" a="1"/>
  <c r="B135" i="8" s="1"/>
  <c r="K135" i="8" a="1"/>
  <c r="K135" i="8" s="1"/>
  <c r="J135" i="8" a="1"/>
  <c r="J135" i="8" s="1"/>
  <c r="I135" i="8" a="1"/>
  <c r="I135" i="8" s="1"/>
  <c r="U135" i="8" a="1"/>
  <c r="U135" i="8" s="1"/>
  <c r="T135" i="8" a="1"/>
  <c r="T135" i="8" s="1"/>
  <c r="Q153" i="8" a="1"/>
  <c r="Q153" i="8" s="1"/>
  <c r="P152" i="8" a="1"/>
  <c r="P152" i="8" s="1"/>
  <c r="M153" i="8" a="1"/>
  <c r="M153" i="8" s="1"/>
  <c r="E153" i="8" a="1"/>
  <c r="E153" i="8" s="1"/>
  <c r="L153" i="8" a="1"/>
  <c r="L153" i="8" s="1"/>
  <c r="B153" i="8" a="1"/>
  <c r="B153" i="8" s="1"/>
  <c r="V153" i="8" a="1"/>
  <c r="V153" i="8" s="1"/>
  <c r="U153" i="8" a="1"/>
  <c r="U153" i="8" s="1"/>
  <c r="K153" i="8" a="1"/>
  <c r="K153" i="8" s="1"/>
  <c r="T153" i="8" a="1"/>
  <c r="T153" i="8" s="1"/>
  <c r="J153" i="8" a="1"/>
  <c r="J153" i="8" s="1"/>
  <c r="S153" i="8" a="1"/>
  <c r="S153" i="8" s="1"/>
  <c r="I153" i="8" a="1"/>
  <c r="I153" i="8" s="1"/>
  <c r="H153" i="8" a="1"/>
  <c r="H153" i="8" s="1"/>
  <c r="R153" i="8" a="1"/>
  <c r="R153" i="8" s="1"/>
  <c r="O153" i="8" a="1"/>
  <c r="O153" i="8" s="1"/>
  <c r="G153" i="8" a="1"/>
  <c r="G153" i="8" s="1"/>
  <c r="N153" i="8" a="1"/>
  <c r="N153" i="8" s="1"/>
  <c r="F153" i="8" a="1"/>
  <c r="F153" i="8" s="1"/>
  <c r="Q166" i="8" a="1"/>
  <c r="Q166" i="8" s="1"/>
  <c r="P165" i="8" a="1"/>
  <c r="P165" i="8" s="1"/>
  <c r="S166" i="8" a="1"/>
  <c r="S166" i="8" s="1"/>
  <c r="I166" i="8" a="1"/>
  <c r="I166" i="8" s="1"/>
  <c r="H166" i="8" a="1"/>
  <c r="H166" i="8" s="1"/>
  <c r="R166" i="8" a="1"/>
  <c r="R166" i="8" s="1"/>
  <c r="G166" i="8" a="1"/>
  <c r="G166" i="8" s="1"/>
  <c r="O166" i="8" a="1"/>
  <c r="O166" i="8" s="1"/>
  <c r="N166" i="8" a="1"/>
  <c r="N166" i="8" s="1"/>
  <c r="F166" i="8" a="1"/>
  <c r="F166" i="8" s="1"/>
  <c r="M166" i="8" a="1"/>
  <c r="M166" i="8" s="1"/>
  <c r="E166" i="8" a="1"/>
  <c r="E166" i="8" s="1"/>
  <c r="L166" i="8" a="1"/>
  <c r="L166" i="8" s="1"/>
  <c r="B166" i="8" a="1"/>
  <c r="B166" i="8" s="1"/>
  <c r="V166" i="8" a="1"/>
  <c r="V166" i="8" s="1"/>
  <c r="K166" i="8" a="1"/>
  <c r="K166" i="8" s="1"/>
  <c r="U166" i="8" a="1"/>
  <c r="U166" i="8" s="1"/>
  <c r="T166" i="8" a="1"/>
  <c r="T166" i="8" s="1"/>
  <c r="J166" i="8" a="1"/>
  <c r="J166" i="8" s="1"/>
  <c r="Q164" i="8" a="1"/>
  <c r="Q164" i="8" s="1"/>
  <c r="P163" i="8" a="1"/>
  <c r="P163" i="8" s="1"/>
  <c r="V164" i="8" a="1"/>
  <c r="V164" i="8" s="1"/>
  <c r="K164" i="8" a="1"/>
  <c r="K164" i="8" s="1"/>
  <c r="U164" i="8" a="1"/>
  <c r="U164" i="8" s="1"/>
  <c r="J164" i="8" a="1"/>
  <c r="J164" i="8" s="1"/>
  <c r="T164" i="8" a="1"/>
  <c r="T164" i="8" s="1"/>
  <c r="I164" i="8" a="1"/>
  <c r="I164" i="8" s="1"/>
  <c r="S164" i="8" a="1"/>
  <c r="S164" i="8" s="1"/>
  <c r="H164" i="8" a="1"/>
  <c r="H164" i="8" s="1"/>
  <c r="R164" i="8" a="1"/>
  <c r="R164" i="8" s="1"/>
  <c r="G164" i="8" a="1"/>
  <c r="G164" i="8" s="1"/>
  <c r="F164" i="8" a="1"/>
  <c r="F164" i="8" s="1"/>
  <c r="O164" i="8" a="1"/>
  <c r="O164" i="8" s="1"/>
  <c r="N164" i="8" a="1"/>
  <c r="N164" i="8" s="1"/>
  <c r="E164" i="8" a="1"/>
  <c r="E164" i="8" s="1"/>
  <c r="M164" i="8" a="1"/>
  <c r="M164" i="8" s="1"/>
  <c r="L164" i="8" a="1"/>
  <c r="L164" i="8" s="1"/>
  <c r="B164" i="8" a="1"/>
  <c r="B164" i="8" s="1"/>
  <c r="Q113" i="8" a="1"/>
  <c r="Q113" i="8" s="1"/>
  <c r="P112" i="8" a="1"/>
  <c r="P112" i="8" s="1"/>
  <c r="R113" i="8" a="1"/>
  <c r="R113" i="8" s="1"/>
  <c r="I113" i="8" a="1"/>
  <c r="I113" i="8" s="1"/>
  <c r="H113" i="8" a="1"/>
  <c r="H113" i="8" s="1"/>
  <c r="N113" i="8" a="1"/>
  <c r="N113" i="8" s="1"/>
  <c r="V113" i="8" a="1"/>
  <c r="V113" i="8" s="1"/>
  <c r="M113" i="8" a="1"/>
  <c r="M113" i="8" s="1"/>
  <c r="E113" i="8" a="1"/>
  <c r="E113" i="8" s="1"/>
  <c r="S113" i="8" a="1"/>
  <c r="S113" i="8" s="1"/>
  <c r="J113" i="8" a="1"/>
  <c r="J113" i="8" s="1"/>
  <c r="T113" i="8" a="1"/>
  <c r="T113" i="8" s="1"/>
  <c r="O113" i="8" a="1"/>
  <c r="O113" i="8" s="1"/>
  <c r="L113" i="8" a="1"/>
  <c r="L113" i="8" s="1"/>
  <c r="K113" i="8" a="1"/>
  <c r="K113" i="8" s="1"/>
  <c r="G113" i="8" a="1"/>
  <c r="G113" i="8" s="1"/>
  <c r="F113" i="8" a="1"/>
  <c r="F113" i="8" s="1"/>
  <c r="U113" i="8" a="1"/>
  <c r="U113" i="8" s="1"/>
  <c r="B113" i="8" a="1"/>
  <c r="B113" i="8" s="1"/>
  <c r="Q123" i="8" a="1"/>
  <c r="Q123" i="8" s="1"/>
  <c r="P122" i="8" a="1"/>
  <c r="P122" i="8" s="1"/>
  <c r="U123" i="8" a="1"/>
  <c r="U123" i="8" s="1"/>
  <c r="K123" i="8" a="1"/>
  <c r="K123" i="8" s="1"/>
  <c r="T123" i="8" a="1"/>
  <c r="T123" i="8" s="1"/>
  <c r="J123" i="8" a="1"/>
  <c r="J123" i="8" s="1"/>
  <c r="S123" i="8" a="1"/>
  <c r="S123" i="8" s="1"/>
  <c r="R123" i="8" a="1"/>
  <c r="R123" i="8" s="1"/>
  <c r="I123" i="8" a="1"/>
  <c r="I123" i="8" s="1"/>
  <c r="O123" i="8" a="1"/>
  <c r="O123" i="8" s="1"/>
  <c r="H123" i="8" a="1"/>
  <c r="H123" i="8" s="1"/>
  <c r="G123" i="8" a="1"/>
  <c r="G123" i="8" s="1"/>
  <c r="N123" i="8" a="1"/>
  <c r="N123" i="8" s="1"/>
  <c r="F123" i="8" a="1"/>
  <c r="F123" i="8" s="1"/>
  <c r="V123" i="8" a="1"/>
  <c r="V123" i="8" s="1"/>
  <c r="L123" i="8" a="1"/>
  <c r="L123" i="8" s="1"/>
  <c r="M123" i="8" a="1"/>
  <c r="M123" i="8" s="1"/>
  <c r="E123" i="8" a="1"/>
  <c r="E123" i="8" s="1"/>
  <c r="B123" i="8" a="1"/>
  <c r="B123" i="8" s="1"/>
  <c r="P107" i="8" a="1"/>
  <c r="P107" i="8" s="1"/>
  <c r="Q108" i="8" a="1"/>
  <c r="Q108" i="8" s="1"/>
  <c r="T108" i="8" a="1"/>
  <c r="T108" i="8" s="1"/>
  <c r="H108" i="8" a="1"/>
  <c r="H108" i="8" s="1"/>
  <c r="S108" i="8" a="1"/>
  <c r="S108" i="8" s="1"/>
  <c r="G108" i="8" a="1"/>
  <c r="G108" i="8" s="1"/>
  <c r="O108" i="8" a="1"/>
  <c r="O108" i="8" s="1"/>
  <c r="E108" i="8" a="1"/>
  <c r="E108" i="8" s="1"/>
  <c r="N108" i="8" a="1"/>
  <c r="N108" i="8" s="1"/>
  <c r="M108" i="8" a="1"/>
  <c r="M108" i="8" s="1"/>
  <c r="U108" i="8" a="1"/>
  <c r="U108" i="8" s="1"/>
  <c r="I108" i="8" a="1"/>
  <c r="I108" i="8" s="1"/>
  <c r="V108" i="8" a="1"/>
  <c r="V108" i="8" s="1"/>
  <c r="R108" i="8" a="1"/>
  <c r="R108" i="8" s="1"/>
  <c r="L108" i="8" a="1"/>
  <c r="L108" i="8" s="1"/>
  <c r="K108" i="8" a="1"/>
  <c r="K108" i="8" s="1"/>
  <c r="F108" i="8" a="1"/>
  <c r="F108" i="8" s="1"/>
  <c r="J108" i="8" a="1"/>
  <c r="J108" i="8" s="1"/>
  <c r="B108" i="8" a="1"/>
  <c r="B108" i="8" s="1"/>
  <c r="P192" i="8" a="1"/>
  <c r="P192" i="8" s="1"/>
  <c r="V193" i="8" a="1"/>
  <c r="V193" i="8" s="1"/>
  <c r="M193" i="8" a="1"/>
  <c r="M193" i="8" s="1"/>
  <c r="F193" i="8" a="1"/>
  <c r="F193" i="8" s="1"/>
  <c r="U193" i="8" a="1"/>
  <c r="U193" i="8" s="1"/>
  <c r="L193" i="8" a="1"/>
  <c r="L193" i="8" s="1"/>
  <c r="E193" i="8" a="1"/>
  <c r="E193" i="8" s="1"/>
  <c r="T193" i="8" a="1"/>
  <c r="T193" i="8" s="1"/>
  <c r="B193" i="8" a="1"/>
  <c r="B193" i="8" s="1"/>
  <c r="K193" i="8" a="1"/>
  <c r="K193" i="8" s="1"/>
  <c r="S193" i="8" a="1"/>
  <c r="S193" i="8" s="1"/>
  <c r="J193" i="8" a="1"/>
  <c r="J193" i="8" s="1"/>
  <c r="I193" i="8" a="1"/>
  <c r="I193" i="8" s="1"/>
  <c r="R193" i="8" a="1"/>
  <c r="R193" i="8" s="1"/>
  <c r="O193" i="8" a="1"/>
  <c r="O193" i="8" s="1"/>
  <c r="H193" i="8" a="1"/>
  <c r="H193" i="8" s="1"/>
  <c r="N193" i="8" a="1"/>
  <c r="N193" i="8" s="1"/>
  <c r="G193" i="8" a="1"/>
  <c r="G193" i="8" s="1"/>
  <c r="Q193" i="8" a="1"/>
  <c r="Q193" i="8" s="1"/>
  <c r="M188" i="8" a="1"/>
  <c r="M188" i="8" s="1"/>
  <c r="E188" i="8" a="1"/>
  <c r="E188" i="8" s="1"/>
  <c r="L188" i="8" a="1"/>
  <c r="L188" i="8" s="1"/>
  <c r="B188" i="8" a="1"/>
  <c r="B188" i="8" s="1"/>
  <c r="Q188" i="8" a="1"/>
  <c r="Q188" i="8" s="1"/>
  <c r="V188" i="8" a="1"/>
  <c r="V188" i="8" s="1"/>
  <c r="K188" i="8" a="1"/>
  <c r="K188" i="8" s="1"/>
  <c r="U188" i="8" a="1"/>
  <c r="U188" i="8" s="1"/>
  <c r="J188" i="8" a="1"/>
  <c r="J188" i="8" s="1"/>
  <c r="P187" i="8" a="1"/>
  <c r="P187" i="8" s="1"/>
  <c r="T188" i="8" a="1"/>
  <c r="T188" i="8" s="1"/>
  <c r="S188" i="8" a="1"/>
  <c r="S188" i="8" s="1"/>
  <c r="I188" i="8" a="1"/>
  <c r="I188" i="8" s="1"/>
  <c r="R188" i="8" a="1"/>
  <c r="R188" i="8" s="1"/>
  <c r="H188" i="8" a="1"/>
  <c r="H188" i="8" s="1"/>
  <c r="G188" i="8" a="1"/>
  <c r="G188" i="8" s="1"/>
  <c r="N188" i="8" a="1"/>
  <c r="N188" i="8" s="1"/>
  <c r="O188" i="8" a="1"/>
  <c r="O188" i="8" s="1"/>
  <c r="F188" i="8" a="1"/>
  <c r="F188" i="8" s="1"/>
  <c r="R173" i="8" a="1"/>
  <c r="R173" i="8" s="1"/>
  <c r="I173" i="8" a="1"/>
  <c r="I173" i="8" s="1"/>
  <c r="N173" i="8" a="1"/>
  <c r="N173" i="8" s="1"/>
  <c r="G173" i="8" a="1"/>
  <c r="G173" i="8" s="1"/>
  <c r="V173" i="8" a="1"/>
  <c r="V173" i="8" s="1"/>
  <c r="F173" i="8" a="1"/>
  <c r="F173" i="8" s="1"/>
  <c r="Q173" i="8" a="1"/>
  <c r="Q173" i="8" s="1"/>
  <c r="M173" i="8" a="1"/>
  <c r="M173" i="8" s="1"/>
  <c r="E173" i="8" a="1"/>
  <c r="E173" i="8" s="1"/>
  <c r="U173" i="8" a="1"/>
  <c r="U173" i="8" s="1"/>
  <c r="L173" i="8" a="1"/>
  <c r="L173" i="8" s="1"/>
  <c r="P172" i="8" a="1"/>
  <c r="P172" i="8" s="1"/>
  <c r="T173" i="8" a="1"/>
  <c r="T173" i="8" s="1"/>
  <c r="S173" i="8" a="1"/>
  <c r="S173" i="8" s="1"/>
  <c r="O173" i="8" a="1"/>
  <c r="O173" i="8" s="1"/>
  <c r="K173" i="8" a="1"/>
  <c r="K173" i="8" s="1"/>
  <c r="J173" i="8" a="1"/>
  <c r="J173" i="8" s="1"/>
  <c r="H173" i="8" a="1"/>
  <c r="H173" i="8" s="1"/>
  <c r="B173" i="8" a="1"/>
  <c r="B173" i="8" s="1"/>
  <c r="Q118" i="8" a="1"/>
  <c r="Q118" i="8" s="1"/>
  <c r="P117" i="8" a="1"/>
  <c r="P117" i="8" s="1"/>
  <c r="F118" i="8" a="1"/>
  <c r="F118" i="8" s="1"/>
  <c r="M118" i="8" a="1"/>
  <c r="M118" i="8" s="1"/>
  <c r="E118" i="8" a="1"/>
  <c r="E118" i="8" s="1"/>
  <c r="U118" i="8" a="1"/>
  <c r="U118" i="8" s="1"/>
  <c r="L118" i="8" a="1"/>
  <c r="L118" i="8" s="1"/>
  <c r="T118" i="8" a="1"/>
  <c r="T118" i="8" s="1"/>
  <c r="K118" i="8" a="1"/>
  <c r="K118" i="8" s="1"/>
  <c r="J118" i="8" a="1"/>
  <c r="J118" i="8" s="1"/>
  <c r="R118" i="8" a="1"/>
  <c r="R118" i="8" s="1"/>
  <c r="O118" i="8" a="1"/>
  <c r="O118" i="8" s="1"/>
  <c r="N118" i="8" a="1"/>
  <c r="N118" i="8" s="1"/>
  <c r="B118" i="8" a="1"/>
  <c r="B118" i="8" s="1"/>
  <c r="I118" i="8" a="1"/>
  <c r="I118" i="8" s="1"/>
  <c r="V118" i="8" a="1"/>
  <c r="V118" i="8" s="1"/>
  <c r="H118" i="8" a="1"/>
  <c r="H118" i="8" s="1"/>
  <c r="G118" i="8" a="1"/>
  <c r="G118" i="8" s="1"/>
  <c r="S118" i="8" a="1"/>
  <c r="S118" i="8" s="1"/>
  <c r="Q129" i="8" a="1"/>
  <c r="Q129" i="8" s="1"/>
  <c r="P128" i="8" a="1"/>
  <c r="P128" i="8" s="1"/>
  <c r="R129" i="8" a="1"/>
  <c r="R129" i="8" s="1"/>
  <c r="G129" i="8" a="1"/>
  <c r="G129" i="8" s="1"/>
  <c r="O129" i="8" a="1"/>
  <c r="O129" i="8" s="1"/>
  <c r="N129" i="8" a="1"/>
  <c r="N129" i="8" s="1"/>
  <c r="F129" i="8" a="1"/>
  <c r="F129" i="8" s="1"/>
  <c r="M129" i="8" a="1"/>
  <c r="M129" i="8" s="1"/>
  <c r="E129" i="8" a="1"/>
  <c r="E129" i="8" s="1"/>
  <c r="L129" i="8" a="1"/>
  <c r="L129" i="8" s="1"/>
  <c r="B129" i="8" a="1"/>
  <c r="B129" i="8" s="1"/>
  <c r="V129" i="8" a="1"/>
  <c r="V129" i="8" s="1"/>
  <c r="U129" i="8" a="1"/>
  <c r="U129" i="8" s="1"/>
  <c r="K129" i="8" a="1"/>
  <c r="K129" i="8" s="1"/>
  <c r="T129" i="8" a="1"/>
  <c r="T129" i="8" s="1"/>
  <c r="J129" i="8" a="1"/>
  <c r="J129" i="8" s="1"/>
  <c r="S129" i="8" a="1"/>
  <c r="S129" i="8" s="1"/>
  <c r="H129" i="8" a="1"/>
  <c r="H129" i="8" s="1"/>
  <c r="I129" i="8" a="1"/>
  <c r="I129" i="8" s="1"/>
  <c r="Q131" i="8" a="1"/>
  <c r="Q131" i="8" s="1"/>
  <c r="P130" i="8" a="1"/>
  <c r="P130" i="8" s="1"/>
  <c r="G131" i="8" a="1"/>
  <c r="G131" i="8" s="1"/>
  <c r="N131" i="8" a="1"/>
  <c r="N131" i="8" s="1"/>
  <c r="F131" i="8" a="1"/>
  <c r="F131" i="8" s="1"/>
  <c r="M131" i="8" a="1"/>
  <c r="M131" i="8" s="1"/>
  <c r="E131" i="8" a="1"/>
  <c r="E131" i="8" s="1"/>
  <c r="V131" i="8" a="1"/>
  <c r="V131" i="8" s="1"/>
  <c r="B131" i="8" a="1"/>
  <c r="B131" i="8" s="1"/>
  <c r="U131" i="8" a="1"/>
  <c r="U131" i="8" s="1"/>
  <c r="L131" i="8" a="1"/>
  <c r="L131" i="8" s="1"/>
  <c r="T131" i="8" a="1"/>
  <c r="T131" i="8" s="1"/>
  <c r="K131" i="8" a="1"/>
  <c r="K131" i="8" s="1"/>
  <c r="J131" i="8" a="1"/>
  <c r="J131" i="8" s="1"/>
  <c r="S131" i="8" a="1"/>
  <c r="S131" i="8" s="1"/>
  <c r="I131" i="8" a="1"/>
  <c r="I131" i="8" s="1"/>
  <c r="R131" i="8" a="1"/>
  <c r="R131" i="8" s="1"/>
  <c r="H131" i="8" a="1"/>
  <c r="H131" i="8" s="1"/>
  <c r="O131" i="8" a="1"/>
  <c r="O131" i="8" s="1"/>
  <c r="Q141" i="8" a="1"/>
  <c r="Q141" i="8" s="1"/>
  <c r="P140" i="8" a="1"/>
  <c r="P140" i="8" s="1"/>
  <c r="M141" i="8" a="1"/>
  <c r="M141" i="8" s="1"/>
  <c r="E141" i="8" a="1"/>
  <c r="E141" i="8" s="1"/>
  <c r="U141" i="8" a="1"/>
  <c r="U141" i="8" s="1"/>
  <c r="J141" i="8" a="1"/>
  <c r="J141" i="8" s="1"/>
  <c r="S141" i="8" a="1"/>
  <c r="S141" i="8" s="1"/>
  <c r="I141" i="8" a="1"/>
  <c r="I141" i="8" s="1"/>
  <c r="O141" i="8" a="1"/>
  <c r="O141" i="8" s="1"/>
  <c r="G141" i="8" a="1"/>
  <c r="G141" i="8" s="1"/>
  <c r="N141" i="8" a="1"/>
  <c r="N141" i="8" s="1"/>
  <c r="L141" i="8" a="1"/>
  <c r="L141" i="8" s="1"/>
  <c r="K141" i="8" a="1"/>
  <c r="K141" i="8" s="1"/>
  <c r="H141" i="8" a="1"/>
  <c r="H141" i="8" s="1"/>
  <c r="F141" i="8" a="1"/>
  <c r="F141" i="8" s="1"/>
  <c r="V141" i="8" a="1"/>
  <c r="V141" i="8" s="1"/>
  <c r="B141" i="8" a="1"/>
  <c r="B141" i="8" s="1"/>
  <c r="R141" i="8" a="1"/>
  <c r="R141" i="8" s="1"/>
  <c r="T141" i="8" a="1"/>
  <c r="T141" i="8" s="1"/>
  <c r="Q125" i="8" a="1"/>
  <c r="Q125" i="8" s="1"/>
  <c r="P124" i="8" a="1"/>
  <c r="P124" i="8" s="1"/>
  <c r="T125" i="8" a="1"/>
  <c r="T125" i="8" s="1"/>
  <c r="S125" i="8" a="1"/>
  <c r="S125" i="8" s="1"/>
  <c r="I125" i="8" a="1"/>
  <c r="I125" i="8" s="1"/>
  <c r="R125" i="8" a="1"/>
  <c r="R125" i="8" s="1"/>
  <c r="H125" i="8" a="1"/>
  <c r="H125" i="8" s="1"/>
  <c r="G125" i="8" a="1"/>
  <c r="G125" i="8" s="1"/>
  <c r="O125" i="8" a="1"/>
  <c r="O125" i="8" s="1"/>
  <c r="F125" i="8" a="1"/>
  <c r="F125" i="8" s="1"/>
  <c r="N125" i="8" a="1"/>
  <c r="N125" i="8" s="1"/>
  <c r="M125" i="8" a="1"/>
  <c r="M125" i="8" s="1"/>
  <c r="E125" i="8" a="1"/>
  <c r="E125" i="8" s="1"/>
  <c r="L125" i="8" a="1"/>
  <c r="L125" i="8" s="1"/>
  <c r="B125" i="8" a="1"/>
  <c r="B125" i="8" s="1"/>
  <c r="V125" i="8" a="1"/>
  <c r="V125" i="8" s="1"/>
  <c r="U125" i="8" a="1"/>
  <c r="U125" i="8" s="1"/>
  <c r="K125" i="8" a="1"/>
  <c r="K125" i="8" s="1"/>
  <c r="J125" i="8" a="1"/>
  <c r="J125" i="8" s="1"/>
  <c r="T186" i="8" a="1"/>
  <c r="T186" i="8" s="1"/>
  <c r="I186" i="8" a="1"/>
  <c r="I186" i="8" s="1"/>
  <c r="S186" i="8" a="1"/>
  <c r="S186" i="8" s="1"/>
  <c r="H186" i="8" a="1"/>
  <c r="H186" i="8" s="1"/>
  <c r="R186" i="8" a="1"/>
  <c r="R186" i="8" s="1"/>
  <c r="G186" i="8" a="1"/>
  <c r="G186" i="8" s="1"/>
  <c r="F186" i="8" a="1"/>
  <c r="F186" i="8" s="1"/>
  <c r="O186" i="8" a="1"/>
  <c r="O186" i="8" s="1"/>
  <c r="E186" i="8" a="1"/>
  <c r="E186" i="8" s="1"/>
  <c r="Q186" i="8" a="1"/>
  <c r="Q186" i="8" s="1"/>
  <c r="N186" i="8" a="1"/>
  <c r="N186" i="8" s="1"/>
  <c r="M186" i="8" a="1"/>
  <c r="M186" i="8" s="1"/>
  <c r="L186" i="8" a="1"/>
  <c r="L186" i="8" s="1"/>
  <c r="B186" i="8" a="1"/>
  <c r="B186" i="8" s="1"/>
  <c r="P185" i="8" a="1"/>
  <c r="P185" i="8" s="1"/>
  <c r="V186" i="8" a="1"/>
  <c r="V186" i="8" s="1"/>
  <c r="K186" i="8" a="1"/>
  <c r="K186" i="8" s="1"/>
  <c r="U186" i="8" a="1"/>
  <c r="U186" i="8" s="1"/>
  <c r="J186" i="8" a="1"/>
  <c r="J186" i="8" s="1"/>
  <c r="V181" i="8" a="1"/>
  <c r="V181" i="8" s="1"/>
  <c r="M181" i="8" a="1"/>
  <c r="M181" i="8" s="1"/>
  <c r="F181" i="8" a="1"/>
  <c r="F181" i="8" s="1"/>
  <c r="P180" i="8" a="1"/>
  <c r="P180" i="8" s="1"/>
  <c r="U181" i="8" a="1"/>
  <c r="U181" i="8" s="1"/>
  <c r="L181" i="8" a="1"/>
  <c r="L181" i="8" s="1"/>
  <c r="E181" i="8" a="1"/>
  <c r="E181" i="8" s="1"/>
  <c r="T181" i="8" a="1"/>
  <c r="T181" i="8" s="1"/>
  <c r="B181" i="8" a="1"/>
  <c r="B181" i="8" s="1"/>
  <c r="K181" i="8" a="1"/>
  <c r="K181" i="8" s="1"/>
  <c r="S181" i="8" a="1"/>
  <c r="S181" i="8" s="1"/>
  <c r="J181" i="8" a="1"/>
  <c r="J181" i="8" s="1"/>
  <c r="I181" i="8" a="1"/>
  <c r="I181" i="8" s="1"/>
  <c r="R181" i="8" a="1"/>
  <c r="R181" i="8" s="1"/>
  <c r="O181" i="8" a="1"/>
  <c r="O181" i="8" s="1"/>
  <c r="H181" i="8" a="1"/>
  <c r="H181" i="8" s="1"/>
  <c r="Q181" i="8" a="1"/>
  <c r="Q181" i="8" s="1"/>
  <c r="N181" i="8" a="1"/>
  <c r="N181" i="8" s="1"/>
  <c r="G181" i="8" a="1"/>
  <c r="G181" i="8" s="1"/>
  <c r="P168" i="8" a="1"/>
  <c r="P168" i="8" s="1"/>
  <c r="U169" i="8" a="1"/>
  <c r="U169" i="8" s="1"/>
  <c r="L169" i="8" a="1"/>
  <c r="L169" i="8" s="1"/>
  <c r="E169" i="8" a="1"/>
  <c r="E169" i="8" s="1"/>
  <c r="Q169" i="8" a="1"/>
  <c r="Q169" i="8" s="1"/>
  <c r="T169" i="8" a="1"/>
  <c r="T169" i="8" s="1"/>
  <c r="B169" i="8" a="1"/>
  <c r="B169" i="8" s="1"/>
  <c r="K169" i="8" a="1"/>
  <c r="K169" i="8" s="1"/>
  <c r="S169" i="8" a="1"/>
  <c r="S169" i="8" s="1"/>
  <c r="J169" i="8" a="1"/>
  <c r="J169" i="8" s="1"/>
  <c r="I169" i="8" a="1"/>
  <c r="I169" i="8" s="1"/>
  <c r="R169" i="8" a="1"/>
  <c r="R169" i="8" s="1"/>
  <c r="O169" i="8" a="1"/>
  <c r="O169" i="8" s="1"/>
  <c r="H169" i="8" a="1"/>
  <c r="H169" i="8" s="1"/>
  <c r="N169" i="8" a="1"/>
  <c r="N169" i="8" s="1"/>
  <c r="G169" i="8" a="1"/>
  <c r="G169" i="8" s="1"/>
  <c r="V169" i="8" a="1"/>
  <c r="V169" i="8" s="1"/>
  <c r="M169" i="8" a="1"/>
  <c r="M169" i="8" s="1"/>
  <c r="F169" i="8" a="1"/>
  <c r="F169" i="8" s="1"/>
  <c r="Q152" i="8" a="1"/>
  <c r="Q152" i="8" s="1"/>
  <c r="P151" i="8" a="1"/>
  <c r="P151" i="8" s="1"/>
  <c r="E152" i="8" a="1"/>
  <c r="E152" i="8" s="1"/>
  <c r="L152" i="8" a="1"/>
  <c r="L152" i="8" s="1"/>
  <c r="V152" i="8" a="1"/>
  <c r="V152" i="8" s="1"/>
  <c r="K152" i="8" a="1"/>
  <c r="K152" i="8" s="1"/>
  <c r="U152" i="8" a="1"/>
  <c r="U152" i="8" s="1"/>
  <c r="B152" i="8" a="1"/>
  <c r="B152" i="8" s="1"/>
  <c r="T152" i="8" a="1"/>
  <c r="T152" i="8" s="1"/>
  <c r="J152" i="8" a="1"/>
  <c r="J152" i="8" s="1"/>
  <c r="S152" i="8" a="1"/>
  <c r="S152" i="8" s="1"/>
  <c r="I152" i="8" a="1"/>
  <c r="I152" i="8" s="1"/>
  <c r="H152" i="8" a="1"/>
  <c r="H152" i="8" s="1"/>
  <c r="R152" i="8" a="1"/>
  <c r="R152" i="8" s="1"/>
  <c r="G152" i="8" a="1"/>
  <c r="G152" i="8" s="1"/>
  <c r="O152" i="8" a="1"/>
  <c r="O152" i="8" s="1"/>
  <c r="N152" i="8" a="1"/>
  <c r="N152" i="8" s="1"/>
  <c r="M152" i="8" a="1"/>
  <c r="M152" i="8" s="1"/>
  <c r="F152" i="8" a="1"/>
  <c r="F152" i="8" s="1"/>
  <c r="Q127" i="8" a="1"/>
  <c r="Q127" i="8" s="1"/>
  <c r="P126" i="8" a="1"/>
  <c r="P126" i="8" s="1"/>
  <c r="S127" i="8" a="1"/>
  <c r="S127" i="8" s="1"/>
  <c r="H127" i="8" a="1"/>
  <c r="H127" i="8" s="1"/>
  <c r="R127" i="8" a="1"/>
  <c r="R127" i="8" s="1"/>
  <c r="G127" i="8" a="1"/>
  <c r="G127" i="8" s="1"/>
  <c r="O127" i="8" a="1"/>
  <c r="O127" i="8" s="1"/>
  <c r="N127" i="8" a="1"/>
  <c r="N127" i="8" s="1"/>
  <c r="F127" i="8" a="1"/>
  <c r="F127" i="8" s="1"/>
  <c r="M127" i="8" a="1"/>
  <c r="M127" i="8" s="1"/>
  <c r="E127" i="8" a="1"/>
  <c r="E127" i="8" s="1"/>
  <c r="L127" i="8" a="1"/>
  <c r="L127" i="8" s="1"/>
  <c r="B127" i="8" a="1"/>
  <c r="B127" i="8" s="1"/>
  <c r="K127" i="8" a="1"/>
  <c r="K127" i="8" s="1"/>
  <c r="U127" i="8" a="1"/>
  <c r="U127" i="8" s="1"/>
  <c r="J127" i="8" a="1"/>
  <c r="J127" i="8" s="1"/>
  <c r="T127" i="8" a="1"/>
  <c r="T127" i="8" s="1"/>
  <c r="V127" i="8" a="1"/>
  <c r="V127" i="8" s="1"/>
  <c r="I127" i="8" a="1"/>
  <c r="I127" i="8" s="1"/>
  <c r="Q147" i="8" a="1"/>
  <c r="Q147" i="8" s="1"/>
  <c r="P146" i="8" a="1"/>
  <c r="P146" i="8" s="1"/>
  <c r="H147" i="8" a="1"/>
  <c r="H147" i="8" s="1"/>
  <c r="O147" i="8" a="1"/>
  <c r="O147" i="8" s="1"/>
  <c r="G147" i="8" a="1"/>
  <c r="G147" i="8" s="1"/>
  <c r="N147" i="8" a="1"/>
  <c r="N147" i="8" s="1"/>
  <c r="E147" i="8" a="1"/>
  <c r="E147" i="8" s="1"/>
  <c r="V147" i="8" a="1"/>
  <c r="V147" i="8" s="1"/>
  <c r="L147" i="8" a="1"/>
  <c r="L147" i="8" s="1"/>
  <c r="B147" i="8" a="1"/>
  <c r="B147" i="8" s="1"/>
  <c r="K147" i="8" a="1"/>
  <c r="K147" i="8" s="1"/>
  <c r="T147" i="8" a="1"/>
  <c r="T147" i="8" s="1"/>
  <c r="I147" i="8" a="1"/>
  <c r="I147" i="8" s="1"/>
  <c r="F147" i="8" a="1"/>
  <c r="F147" i="8" s="1"/>
  <c r="U147" i="8" a="1"/>
  <c r="U147" i="8" s="1"/>
  <c r="S147" i="8" a="1"/>
  <c r="S147" i="8" s="1"/>
  <c r="R147" i="8" a="1"/>
  <c r="R147" i="8" s="1"/>
  <c r="J147" i="8" a="1"/>
  <c r="J147" i="8" s="1"/>
  <c r="M147" i="8" a="1"/>
  <c r="M147" i="8" s="1"/>
  <c r="Q149" i="8" a="1"/>
  <c r="Q149" i="8" s="1"/>
  <c r="P148" i="8" a="1"/>
  <c r="P148" i="8" s="1"/>
  <c r="N149" i="8" a="1"/>
  <c r="N149" i="8" s="1"/>
  <c r="E149" i="8" a="1"/>
  <c r="E149" i="8" s="1"/>
  <c r="M149" i="8" a="1"/>
  <c r="M149" i="8" s="1"/>
  <c r="L149" i="8" a="1"/>
  <c r="L149" i="8" s="1"/>
  <c r="K149" i="8" a="1"/>
  <c r="K149" i="8" s="1"/>
  <c r="B149" i="8" a="1"/>
  <c r="B149" i="8" s="1"/>
  <c r="V149" i="8" a="1"/>
  <c r="V149" i="8" s="1"/>
  <c r="J149" i="8" a="1"/>
  <c r="J149" i="8" s="1"/>
  <c r="U149" i="8" a="1"/>
  <c r="U149" i="8" s="1"/>
  <c r="T149" i="8" a="1"/>
  <c r="T149" i="8" s="1"/>
  <c r="I149" i="8" a="1"/>
  <c r="I149" i="8" s="1"/>
  <c r="S149" i="8" a="1"/>
  <c r="S149" i="8" s="1"/>
  <c r="H149" i="8" a="1"/>
  <c r="H149" i="8" s="1"/>
  <c r="R149" i="8" a="1"/>
  <c r="R149" i="8" s="1"/>
  <c r="G149" i="8" a="1"/>
  <c r="G149" i="8" s="1"/>
  <c r="O149" i="8" a="1"/>
  <c r="O149" i="8" s="1"/>
  <c r="F149" i="8" a="1"/>
  <c r="F149" i="8" s="1"/>
  <c r="Q159" i="8" a="1"/>
  <c r="Q159" i="8" s="1"/>
  <c r="P158" i="8" a="1"/>
  <c r="P158" i="8" s="1"/>
  <c r="O159" i="8" a="1"/>
  <c r="O159" i="8" s="1"/>
  <c r="G159" i="8" a="1"/>
  <c r="G159" i="8" s="1"/>
  <c r="N159" i="8" a="1"/>
  <c r="N159" i="8" s="1"/>
  <c r="F159" i="8" a="1"/>
  <c r="F159" i="8" s="1"/>
  <c r="E159" i="8" a="1"/>
  <c r="E159" i="8" s="1"/>
  <c r="M159" i="8" a="1"/>
  <c r="M159" i="8" s="1"/>
  <c r="V159" i="8" a="1"/>
  <c r="V159" i="8" s="1"/>
  <c r="B159" i="8" a="1"/>
  <c r="B159" i="8" s="1"/>
  <c r="L159" i="8" a="1"/>
  <c r="L159" i="8" s="1"/>
  <c r="U159" i="8" a="1"/>
  <c r="U159" i="8" s="1"/>
  <c r="K159" i="8" a="1"/>
  <c r="K159" i="8" s="1"/>
  <c r="T159" i="8" a="1"/>
  <c r="T159" i="8" s="1"/>
  <c r="J159" i="8" a="1"/>
  <c r="J159" i="8" s="1"/>
  <c r="S159" i="8" a="1"/>
  <c r="S159" i="8" s="1"/>
  <c r="I159" i="8" a="1"/>
  <c r="I159" i="8" s="1"/>
  <c r="R159" i="8" a="1"/>
  <c r="R159" i="8" s="1"/>
  <c r="H159" i="8" a="1"/>
  <c r="H159" i="8" s="1"/>
  <c r="Q143" i="8" a="1"/>
  <c r="Q143" i="8" s="1"/>
  <c r="P142" i="8" a="1"/>
  <c r="P142" i="8" s="1"/>
  <c r="T143" i="8" a="1"/>
  <c r="T143" i="8" s="1"/>
  <c r="J143" i="8" a="1"/>
  <c r="J143" i="8" s="1"/>
  <c r="I143" i="8" a="1"/>
  <c r="I143" i="8" s="1"/>
  <c r="O143" i="8" a="1"/>
  <c r="O143" i="8" s="1"/>
  <c r="N143" i="8" a="1"/>
  <c r="N143" i="8" s="1"/>
  <c r="F143" i="8" a="1"/>
  <c r="F143" i="8" s="1"/>
  <c r="L143" i="8" a="1"/>
  <c r="L143" i="8" s="1"/>
  <c r="K143" i="8" a="1"/>
  <c r="K143" i="8" s="1"/>
  <c r="H143" i="8" a="1"/>
  <c r="H143" i="8" s="1"/>
  <c r="G143" i="8" a="1"/>
  <c r="G143" i="8" s="1"/>
  <c r="E143" i="8" a="1"/>
  <c r="E143" i="8" s="1"/>
  <c r="B143" i="8" a="1"/>
  <c r="B143" i="8" s="1"/>
  <c r="V143" i="8" a="1"/>
  <c r="V143" i="8" s="1"/>
  <c r="U143" i="8" a="1"/>
  <c r="U143" i="8" s="1"/>
  <c r="S143" i="8" a="1"/>
  <c r="S143" i="8" s="1"/>
  <c r="R143" i="8" a="1"/>
  <c r="R143" i="8" s="1"/>
  <c r="M143" i="8" a="1"/>
  <c r="M143" i="8" s="1"/>
  <c r="K197" i="8" a="1"/>
  <c r="K197" i="8" s="1"/>
  <c r="B197" i="8" a="1"/>
  <c r="B197" i="8" s="1"/>
  <c r="T197" i="8" a="1"/>
  <c r="T197" i="8" s="1"/>
  <c r="J197" i="8" a="1"/>
  <c r="J197" i="8" s="1"/>
  <c r="S197" i="8" a="1"/>
  <c r="S197" i="8" s="1"/>
  <c r="R197" i="8" a="1"/>
  <c r="R197" i="8" s="1"/>
  <c r="I197" i="8" a="1"/>
  <c r="I197" i="8" s="1"/>
  <c r="Q197" i="8" a="1"/>
  <c r="Q197" i="8" s="1"/>
  <c r="O197" i="8" a="1"/>
  <c r="O197" i="8" s="1"/>
  <c r="H197" i="8" a="1"/>
  <c r="H197" i="8" s="1"/>
  <c r="N197" i="8" a="1"/>
  <c r="N197" i="8" s="1"/>
  <c r="G197" i="8" a="1"/>
  <c r="G197" i="8" s="1"/>
  <c r="P196" i="8" a="1"/>
  <c r="P196" i="8" s="1"/>
  <c r="V197" i="8" a="1"/>
  <c r="V197" i="8" s="1"/>
  <c r="F197" i="8" a="1"/>
  <c r="F197" i="8" s="1"/>
  <c r="U197" i="8" a="1"/>
  <c r="U197" i="8" s="1"/>
  <c r="L197" i="8" a="1"/>
  <c r="L197" i="8" s="1"/>
  <c r="M197" i="8" a="1"/>
  <c r="M197" i="8" s="1"/>
  <c r="E197" i="8" a="1"/>
  <c r="E197" i="8" s="1"/>
  <c r="O174" i="8" a="1"/>
  <c r="O174" i="8" s="1"/>
  <c r="E174" i="8" a="1"/>
  <c r="E174" i="8" s="1"/>
  <c r="N174" i="8" a="1"/>
  <c r="N174" i="8" s="1"/>
  <c r="M174" i="8" a="1"/>
  <c r="M174" i="8" s="1"/>
  <c r="L174" i="8" a="1"/>
  <c r="L174" i="8" s="1"/>
  <c r="B174" i="8" a="1"/>
  <c r="B174" i="8" s="1"/>
  <c r="V174" i="8" a="1"/>
  <c r="V174" i="8" s="1"/>
  <c r="K174" i="8" a="1"/>
  <c r="K174" i="8" s="1"/>
  <c r="Q174" i="8" a="1"/>
  <c r="Q174" i="8" s="1"/>
  <c r="U174" i="8" a="1"/>
  <c r="U174" i="8" s="1"/>
  <c r="J174" i="8" a="1"/>
  <c r="J174" i="8" s="1"/>
  <c r="P173" i="8" a="1"/>
  <c r="P173" i="8" s="1"/>
  <c r="T174" i="8" a="1"/>
  <c r="T174" i="8" s="1"/>
  <c r="I174" i="8" a="1"/>
  <c r="I174" i="8" s="1"/>
  <c r="S174" i="8" a="1"/>
  <c r="S174" i="8" s="1"/>
  <c r="H174" i="8" a="1"/>
  <c r="H174" i="8" s="1"/>
  <c r="F174" i="8" a="1"/>
  <c r="F174" i="8" s="1"/>
  <c r="R174" i="8" a="1"/>
  <c r="R174" i="8" s="1"/>
  <c r="G174" i="8" a="1"/>
  <c r="G174" i="8" s="1"/>
  <c r="P181" i="8" a="1"/>
  <c r="P181" i="8" s="1"/>
  <c r="U182" i="8" a="1"/>
  <c r="U182" i="8" s="1"/>
  <c r="L182" i="8" a="1"/>
  <c r="L182" i="8" s="1"/>
  <c r="T182" i="8" a="1"/>
  <c r="T182" i="8" s="1"/>
  <c r="K182" i="8" a="1"/>
  <c r="K182" i="8" s="1"/>
  <c r="J182" i="8" a="1"/>
  <c r="J182" i="8" s="1"/>
  <c r="S182" i="8" a="1"/>
  <c r="S182" i="8" s="1"/>
  <c r="I182" i="8" a="1"/>
  <c r="I182" i="8" s="1"/>
  <c r="R182" i="8" a="1"/>
  <c r="R182" i="8" s="1"/>
  <c r="H182" i="8" a="1"/>
  <c r="H182" i="8" s="1"/>
  <c r="O182" i="8" a="1"/>
  <c r="O182" i="8" s="1"/>
  <c r="G182" i="8" a="1"/>
  <c r="G182" i="8" s="1"/>
  <c r="Q182" i="8" a="1"/>
  <c r="Q182" i="8" s="1"/>
  <c r="N182" i="8" a="1"/>
  <c r="N182" i="8" s="1"/>
  <c r="F182" i="8" a="1"/>
  <c r="F182" i="8" s="1"/>
  <c r="V182" i="8" a="1"/>
  <c r="V182" i="8" s="1"/>
  <c r="M182" i="8" a="1"/>
  <c r="M182" i="8" s="1"/>
  <c r="B182" i="8" a="1"/>
  <c r="B182" i="8" s="1"/>
  <c r="E182" i="8" a="1"/>
  <c r="E182" i="8" s="1"/>
  <c r="Q140" i="8" a="1"/>
  <c r="Q140" i="8" s="1"/>
  <c r="P139" i="8" a="1"/>
  <c r="P139" i="8" s="1"/>
  <c r="F140" i="8" a="1"/>
  <c r="F140" i="8" s="1"/>
  <c r="M140" i="8" a="1"/>
  <c r="M140" i="8" s="1"/>
  <c r="E140" i="8" a="1"/>
  <c r="E140" i="8" s="1"/>
  <c r="V140" i="8" a="1"/>
  <c r="V140" i="8" s="1"/>
  <c r="L140" i="8" a="1"/>
  <c r="L140" i="8" s="1"/>
  <c r="T140" i="8" a="1"/>
  <c r="T140" i="8" s="1"/>
  <c r="J140" i="8" a="1"/>
  <c r="J140" i="8" s="1"/>
  <c r="R140" i="8" a="1"/>
  <c r="R140" i="8" s="1"/>
  <c r="O140" i="8" a="1"/>
  <c r="O140" i="8" s="1"/>
  <c r="N140" i="8" a="1"/>
  <c r="N140" i="8" s="1"/>
  <c r="K140" i="8" a="1"/>
  <c r="K140" i="8" s="1"/>
  <c r="I140" i="8" a="1"/>
  <c r="I140" i="8" s="1"/>
  <c r="H140" i="8" a="1"/>
  <c r="H140" i="8" s="1"/>
  <c r="G140" i="8" a="1"/>
  <c r="G140" i="8" s="1"/>
  <c r="B140" i="8" a="1"/>
  <c r="B140" i="8" s="1"/>
  <c r="S140" i="8" a="1"/>
  <c r="S140" i="8" s="1"/>
  <c r="U140" i="8" a="1"/>
  <c r="U140" i="8" s="1"/>
  <c r="Q165" i="8" a="1"/>
  <c r="Q165" i="8" s="1"/>
  <c r="P164" i="8" a="1"/>
  <c r="P164" i="8" s="1"/>
  <c r="T165" i="8" a="1"/>
  <c r="T165" i="8" s="1"/>
  <c r="S165" i="8" a="1"/>
  <c r="S165" i="8" s="1"/>
  <c r="J165" i="8" a="1"/>
  <c r="J165" i="8" s="1"/>
  <c r="R165" i="8" a="1"/>
  <c r="R165" i="8" s="1"/>
  <c r="I165" i="8" a="1"/>
  <c r="I165" i="8" s="1"/>
  <c r="H165" i="8" a="1"/>
  <c r="H165" i="8" s="1"/>
  <c r="O165" i="8" a="1"/>
  <c r="O165" i="8" s="1"/>
  <c r="G165" i="8" a="1"/>
  <c r="G165" i="8" s="1"/>
  <c r="N165" i="8" a="1"/>
  <c r="N165" i="8" s="1"/>
  <c r="M165" i="8" a="1"/>
  <c r="M165" i="8" s="1"/>
  <c r="F165" i="8" a="1"/>
  <c r="F165" i="8" s="1"/>
  <c r="V165" i="8" a="1"/>
  <c r="V165" i="8" s="1"/>
  <c r="L165" i="8" a="1"/>
  <c r="L165" i="8" s="1"/>
  <c r="E165" i="8" a="1"/>
  <c r="E165" i="8" s="1"/>
  <c r="K165" i="8" a="1"/>
  <c r="K165" i="8" s="1"/>
  <c r="B165" i="8" a="1"/>
  <c r="B165" i="8" s="1"/>
  <c r="U165" i="8" a="1"/>
  <c r="U165" i="8" s="1"/>
  <c r="Q111" i="8" a="1"/>
  <c r="Q111" i="8" s="1"/>
  <c r="P110" i="8" a="1"/>
  <c r="P110" i="8" s="1"/>
  <c r="H111" i="8" a="1"/>
  <c r="H111" i="8" s="1"/>
  <c r="O111" i="8" a="1"/>
  <c r="O111" i="8" s="1"/>
  <c r="G111" i="8" a="1"/>
  <c r="G111" i="8" s="1"/>
  <c r="N111" i="8" a="1"/>
  <c r="N111" i="8" s="1"/>
  <c r="V111" i="8" a="1"/>
  <c r="V111" i="8" s="1"/>
  <c r="L111" i="8" a="1"/>
  <c r="L111" i="8" s="1"/>
  <c r="B111" i="8" a="1"/>
  <c r="B111" i="8" s="1"/>
  <c r="S111" i="8" a="1"/>
  <c r="S111" i="8" s="1"/>
  <c r="I111" i="8" a="1"/>
  <c r="I111" i="8" s="1"/>
  <c r="F111" i="8" a="1"/>
  <c r="F111" i="8" s="1"/>
  <c r="T111" i="8" a="1"/>
  <c r="T111" i="8" s="1"/>
  <c r="R111" i="8" a="1"/>
  <c r="R111" i="8" s="1"/>
  <c r="M111" i="8" a="1"/>
  <c r="M111" i="8" s="1"/>
  <c r="K111" i="8" a="1"/>
  <c r="K111" i="8" s="1"/>
  <c r="J111" i="8" a="1"/>
  <c r="J111" i="8" s="1"/>
  <c r="E111" i="8" a="1"/>
  <c r="E111" i="8" s="1"/>
  <c r="U111" i="8" a="1"/>
  <c r="U111" i="8" s="1"/>
  <c r="Q138" i="8" a="1"/>
  <c r="Q138" i="8" s="1"/>
  <c r="P137" i="8" a="1"/>
  <c r="P137" i="8" s="1"/>
  <c r="M138" i="8" a="1"/>
  <c r="M138" i="8" s="1"/>
  <c r="V138" i="8" a="1"/>
  <c r="V138" i="8" s="1"/>
  <c r="E138" i="8" a="1"/>
  <c r="E138" i="8" s="1"/>
  <c r="U138" i="8" a="1"/>
  <c r="U138" i="8" s="1"/>
  <c r="S138" i="8" a="1"/>
  <c r="S138" i="8" s="1"/>
  <c r="J138" i="8" a="1"/>
  <c r="J138" i="8" s="1"/>
  <c r="I138" i="8" a="1"/>
  <c r="I138" i="8" s="1"/>
  <c r="O138" i="8" a="1"/>
  <c r="O138" i="8" s="1"/>
  <c r="G138" i="8" a="1"/>
  <c r="G138" i="8" s="1"/>
  <c r="N138" i="8" a="1"/>
  <c r="N138" i="8" s="1"/>
  <c r="L138" i="8" a="1"/>
  <c r="L138" i="8" s="1"/>
  <c r="K138" i="8" a="1"/>
  <c r="K138" i="8" s="1"/>
  <c r="H138" i="8" a="1"/>
  <c r="H138" i="8" s="1"/>
  <c r="F138" i="8" a="1"/>
  <c r="F138" i="8" s="1"/>
  <c r="B138" i="8" a="1"/>
  <c r="B138" i="8" s="1"/>
  <c r="R138" i="8" a="1"/>
  <c r="R138" i="8" s="1"/>
  <c r="T138" i="8" a="1"/>
  <c r="T138" i="8" s="1"/>
  <c r="Q161" i="8" a="1"/>
  <c r="Q161" i="8" s="1"/>
  <c r="P160" i="8" a="1"/>
  <c r="P160" i="8" s="1"/>
  <c r="N161" i="8" a="1"/>
  <c r="N161" i="8" s="1"/>
  <c r="E161" i="8" a="1"/>
  <c r="E161" i="8" s="1"/>
  <c r="M161" i="8" a="1"/>
  <c r="M161" i="8" s="1"/>
  <c r="B161" i="8" a="1"/>
  <c r="B161" i="8" s="1"/>
  <c r="L161" i="8" a="1"/>
  <c r="L161" i="8" s="1"/>
  <c r="V161" i="8" a="1"/>
  <c r="V161" i="8" s="1"/>
  <c r="K161" i="8" a="1"/>
  <c r="K161" i="8" s="1"/>
  <c r="U161" i="8" a="1"/>
  <c r="U161" i="8" s="1"/>
  <c r="J161" i="8" a="1"/>
  <c r="J161" i="8" s="1"/>
  <c r="T161" i="8" a="1"/>
  <c r="T161" i="8" s="1"/>
  <c r="I161" i="8" a="1"/>
  <c r="I161" i="8" s="1"/>
  <c r="S161" i="8" a="1"/>
  <c r="S161" i="8" s="1"/>
  <c r="R161" i="8" a="1"/>
  <c r="R161" i="8" s="1"/>
  <c r="H161" i="8" a="1"/>
  <c r="H161" i="8" s="1"/>
  <c r="O161" i="8" a="1"/>
  <c r="O161" i="8" s="1"/>
  <c r="G161" i="8" a="1"/>
  <c r="G161" i="8" s="1"/>
  <c r="F161" i="8" a="1"/>
  <c r="F161" i="8" s="1"/>
  <c r="T190" i="8" a="1"/>
  <c r="T190" i="8" s="1"/>
  <c r="J190" i="8" a="1"/>
  <c r="J190" i="8" s="1"/>
  <c r="Q190" i="8" a="1"/>
  <c r="Q190" i="8" s="1"/>
  <c r="S190" i="8" a="1"/>
  <c r="S190" i="8" s="1"/>
  <c r="I190" i="8" a="1"/>
  <c r="I190" i="8" s="1"/>
  <c r="H190" i="8" a="1"/>
  <c r="H190" i="8" s="1"/>
  <c r="R190" i="8" a="1"/>
  <c r="R190" i="8" s="1"/>
  <c r="G190" i="8" a="1"/>
  <c r="G190" i="8" s="1"/>
  <c r="P189" i="8" a="1"/>
  <c r="P189" i="8" s="1"/>
  <c r="O190" i="8" a="1"/>
  <c r="O190" i="8" s="1"/>
  <c r="N190" i="8" a="1"/>
  <c r="N190" i="8" s="1"/>
  <c r="F190" i="8" a="1"/>
  <c r="F190" i="8" s="1"/>
  <c r="M190" i="8" a="1"/>
  <c r="M190" i="8" s="1"/>
  <c r="E190" i="8" a="1"/>
  <c r="E190" i="8" s="1"/>
  <c r="L190" i="8" a="1"/>
  <c r="L190" i="8" s="1"/>
  <c r="B190" i="8" a="1"/>
  <c r="B190" i="8" s="1"/>
  <c r="U190" i="8" a="1"/>
  <c r="U190" i="8" s="1"/>
  <c r="V190" i="8" a="1"/>
  <c r="V190" i="8" s="1"/>
  <c r="K190" i="8" a="1"/>
  <c r="K190" i="8" s="1"/>
  <c r="K185" i="8" a="1"/>
  <c r="K185" i="8" s="1"/>
  <c r="B185" i="8" a="1"/>
  <c r="B185" i="8" s="1"/>
  <c r="T185" i="8" a="1"/>
  <c r="T185" i="8" s="1"/>
  <c r="J185" i="8" a="1"/>
  <c r="J185" i="8" s="1"/>
  <c r="S185" i="8" a="1"/>
  <c r="S185" i="8" s="1"/>
  <c r="R185" i="8" a="1"/>
  <c r="R185" i="8" s="1"/>
  <c r="I185" i="8" a="1"/>
  <c r="I185" i="8" s="1"/>
  <c r="Q185" i="8" a="1"/>
  <c r="Q185" i="8" s="1"/>
  <c r="O185" i="8" a="1"/>
  <c r="O185" i="8" s="1"/>
  <c r="H185" i="8" a="1"/>
  <c r="H185" i="8" s="1"/>
  <c r="N185" i="8" a="1"/>
  <c r="N185" i="8" s="1"/>
  <c r="G185" i="8" a="1"/>
  <c r="G185" i="8" s="1"/>
  <c r="P184" i="8" a="1"/>
  <c r="P184" i="8" s="1"/>
  <c r="V185" i="8" a="1"/>
  <c r="V185" i="8" s="1"/>
  <c r="F185" i="8" a="1"/>
  <c r="F185" i="8" s="1"/>
  <c r="U185" i="8" a="1"/>
  <c r="U185" i="8" s="1"/>
  <c r="L185" i="8" a="1"/>
  <c r="L185" i="8" s="1"/>
  <c r="M185" i="8" a="1"/>
  <c r="M185" i="8" s="1"/>
  <c r="E185" i="8" a="1"/>
  <c r="E185" i="8" s="1"/>
  <c r="T198" i="8" a="1"/>
  <c r="T198" i="8" s="1"/>
  <c r="I198" i="8" a="1"/>
  <c r="I198" i="8" s="1"/>
  <c r="S198" i="8" a="1"/>
  <c r="S198" i="8" s="1"/>
  <c r="H198" i="8" a="1"/>
  <c r="H198" i="8" s="1"/>
  <c r="R198" i="8" a="1"/>
  <c r="R198" i="8" s="1"/>
  <c r="G198" i="8" a="1"/>
  <c r="G198" i="8" s="1"/>
  <c r="F198" i="8" a="1"/>
  <c r="F198" i="8" s="1"/>
  <c r="O198" i="8" a="1"/>
  <c r="O198" i="8" s="1"/>
  <c r="E198" i="8" a="1"/>
  <c r="E198" i="8" s="1"/>
  <c r="Q198" i="8" a="1"/>
  <c r="Q198" i="8" s="1"/>
  <c r="N198" i="8" a="1"/>
  <c r="N198" i="8" s="1"/>
  <c r="M198" i="8" a="1"/>
  <c r="M198" i="8" s="1"/>
  <c r="L198" i="8" a="1"/>
  <c r="L198" i="8" s="1"/>
  <c r="B198" i="8" a="1"/>
  <c r="B198" i="8" s="1"/>
  <c r="P197" i="8" a="1"/>
  <c r="P197" i="8" s="1"/>
  <c r="K198" i="8" a="1"/>
  <c r="K198" i="8" s="1"/>
  <c r="V198" i="8" a="1"/>
  <c r="V198" i="8" s="1"/>
  <c r="U198" i="8" a="1"/>
  <c r="U198" i="8" s="1"/>
  <c r="J198" i="8" a="1"/>
  <c r="J198" i="8" s="1"/>
  <c r="P108" i="8" a="1"/>
  <c r="P108" i="8" s="1"/>
  <c r="Q109" i="8" a="1"/>
  <c r="Q109" i="8" s="1"/>
  <c r="I109" i="8" a="1"/>
  <c r="I109" i="8" s="1"/>
  <c r="S109" i="8" a="1"/>
  <c r="S109" i="8" s="1"/>
  <c r="O109" i="8" a="1"/>
  <c r="O109" i="8" s="1"/>
  <c r="N109" i="8" a="1"/>
  <c r="N109" i="8" s="1"/>
  <c r="F109" i="8" a="1"/>
  <c r="F109" i="8" s="1"/>
  <c r="E109" i="8" a="1"/>
  <c r="E109" i="8" s="1"/>
  <c r="V109" i="8" a="1"/>
  <c r="V109" i="8" s="1"/>
  <c r="U109" i="8" a="1"/>
  <c r="U109" i="8" s="1"/>
  <c r="T109" i="8" a="1"/>
  <c r="T109" i="8" s="1"/>
  <c r="R109" i="8" a="1"/>
  <c r="R109" i="8" s="1"/>
  <c r="H109" i="8" a="1"/>
  <c r="H109" i="8" s="1"/>
  <c r="M109" i="8" a="1"/>
  <c r="M109" i="8" s="1"/>
  <c r="L109" i="8" a="1"/>
  <c r="L109" i="8" s="1"/>
  <c r="K109" i="8" a="1"/>
  <c r="K109" i="8" s="1"/>
  <c r="J109" i="8" a="1"/>
  <c r="J109" i="8" s="1"/>
  <c r="G109" i="8" a="1"/>
  <c r="G109" i="8" s="1"/>
  <c r="B109" i="8" a="1"/>
  <c r="B109" i="8" s="1"/>
  <c r="Q116" i="8" a="1"/>
  <c r="Q116" i="8" s="1"/>
  <c r="P115" i="8" a="1"/>
  <c r="P115" i="8" s="1"/>
  <c r="V116" i="8" a="1"/>
  <c r="V116" i="8" s="1"/>
  <c r="E116" i="8" a="1"/>
  <c r="E116" i="8" s="1"/>
  <c r="U116" i="8" a="1"/>
  <c r="U116" i="8" s="1"/>
  <c r="L116" i="8" a="1"/>
  <c r="L116" i="8" s="1"/>
  <c r="K116" i="8" a="1"/>
  <c r="K116" i="8" s="1"/>
  <c r="B116" i="8" a="1"/>
  <c r="B116" i="8" s="1"/>
  <c r="J116" i="8" a="1"/>
  <c r="J116" i="8" s="1"/>
  <c r="R116" i="8" a="1"/>
  <c r="R116" i="8" s="1"/>
  <c r="I116" i="8" a="1"/>
  <c r="I116" i="8" s="1"/>
  <c r="O116" i="8" a="1"/>
  <c r="O116" i="8" s="1"/>
  <c r="N116" i="8" a="1"/>
  <c r="N116" i="8" s="1"/>
  <c r="T116" i="8" a="1"/>
  <c r="T116" i="8" s="1"/>
  <c r="M116" i="8" a="1"/>
  <c r="M116" i="8" s="1"/>
  <c r="H116" i="8" a="1"/>
  <c r="H116" i="8" s="1"/>
  <c r="G116" i="8" a="1"/>
  <c r="G116" i="8" s="1"/>
  <c r="F116" i="8" a="1"/>
  <c r="F116" i="8" s="1"/>
  <c r="S116" i="8" a="1"/>
  <c r="S116" i="8" s="1"/>
  <c r="P133" i="8" a="1"/>
  <c r="P133" i="8" s="1"/>
  <c r="Q134" i="8" a="1"/>
  <c r="Q134" i="8" s="1"/>
  <c r="U134" i="8" a="1"/>
  <c r="U134" i="8" s="1"/>
  <c r="K134" i="8" a="1"/>
  <c r="K134" i="8" s="1"/>
  <c r="T134" i="8" a="1"/>
  <c r="T134" i="8" s="1"/>
  <c r="J134" i="8" a="1"/>
  <c r="J134" i="8" s="1"/>
  <c r="S134" i="8" a="1"/>
  <c r="S134" i="8" s="1"/>
  <c r="R134" i="8" a="1"/>
  <c r="R134" i="8" s="1"/>
  <c r="I134" i="8" a="1"/>
  <c r="I134" i="8" s="1"/>
  <c r="H134" i="8" a="1"/>
  <c r="H134" i="8" s="1"/>
  <c r="O134" i="8" a="1"/>
  <c r="O134" i="8" s="1"/>
  <c r="G134" i="8" a="1"/>
  <c r="G134" i="8" s="1"/>
  <c r="N134" i="8" a="1"/>
  <c r="N134" i="8" s="1"/>
  <c r="F134" i="8" a="1"/>
  <c r="F134" i="8" s="1"/>
  <c r="V134" i="8" a="1"/>
  <c r="V134" i="8" s="1"/>
  <c r="M134" i="8" a="1"/>
  <c r="M134" i="8" s="1"/>
  <c r="L134" i="8" a="1"/>
  <c r="L134" i="8" s="1"/>
  <c r="E134" i="8" a="1"/>
  <c r="E134" i="8" s="1"/>
  <c r="B134" i="8" a="1"/>
  <c r="B134" i="8" s="1"/>
  <c r="P144" i="8" a="1"/>
  <c r="P144" i="8" s="1"/>
  <c r="S145" i="8" a="1"/>
  <c r="S145" i="8" s="1"/>
  <c r="R145" i="8" a="1"/>
  <c r="R145" i="8" s="1"/>
  <c r="H145" i="8" a="1"/>
  <c r="H145" i="8" s="1"/>
  <c r="O145" i="8" a="1"/>
  <c r="O145" i="8" s="1"/>
  <c r="G145" i="8" a="1"/>
  <c r="G145" i="8" s="1"/>
  <c r="Q145" i="8" a="1"/>
  <c r="Q145" i="8" s="1"/>
  <c r="N145" i="8" a="1"/>
  <c r="N145" i="8" s="1"/>
  <c r="E145" i="8" a="1"/>
  <c r="E145" i="8" s="1"/>
  <c r="K145" i="8" a="1"/>
  <c r="K145" i="8" s="1"/>
  <c r="J145" i="8" a="1"/>
  <c r="J145" i="8" s="1"/>
  <c r="I145" i="8" a="1"/>
  <c r="I145" i="8" s="1"/>
  <c r="F145" i="8" a="1"/>
  <c r="F145" i="8" s="1"/>
  <c r="V145" i="8" a="1"/>
  <c r="V145" i="8" s="1"/>
  <c r="B145" i="8" a="1"/>
  <c r="B145" i="8" s="1"/>
  <c r="U145" i="8" a="1"/>
  <c r="U145" i="8" s="1"/>
  <c r="T145" i="8" a="1"/>
  <c r="T145" i="8" s="1"/>
  <c r="M145" i="8" a="1"/>
  <c r="M145" i="8" s="1"/>
  <c r="L145" i="8" a="1"/>
  <c r="L145" i="8" s="1"/>
  <c r="P119" i="8" a="1"/>
  <c r="P119" i="8" s="1"/>
  <c r="Q120" i="8" a="1"/>
  <c r="Q120" i="8" s="1"/>
  <c r="S120" i="8" a="1"/>
  <c r="S120" i="8" s="1"/>
  <c r="I120" i="8" a="1"/>
  <c r="I120" i="8" s="1"/>
  <c r="H120" i="8" a="1"/>
  <c r="H120" i="8" s="1"/>
  <c r="V120" i="8" a="1"/>
  <c r="V120" i="8" s="1"/>
  <c r="N120" i="8" a="1"/>
  <c r="N120" i="8" s="1"/>
  <c r="F120" i="8" a="1"/>
  <c r="F120" i="8" s="1"/>
  <c r="T120" i="8" a="1"/>
  <c r="T120" i="8" s="1"/>
  <c r="K120" i="8" a="1"/>
  <c r="K120" i="8" s="1"/>
  <c r="L120" i="8" a="1"/>
  <c r="L120" i="8" s="1"/>
  <c r="R120" i="8" a="1"/>
  <c r="R120" i="8" s="1"/>
  <c r="J120" i="8" a="1"/>
  <c r="J120" i="8" s="1"/>
  <c r="G120" i="8" a="1"/>
  <c r="G120" i="8" s="1"/>
  <c r="U120" i="8" a="1"/>
  <c r="U120" i="8" s="1"/>
  <c r="E120" i="8" a="1"/>
  <c r="E120" i="8" s="1"/>
  <c r="B120" i="8" a="1"/>
  <c r="B120" i="8" s="1"/>
  <c r="O120" i="8" a="1"/>
  <c r="O120" i="8" s="1"/>
  <c r="M120" i="8" a="1"/>
  <c r="M120" i="8" s="1"/>
  <c r="Q114" i="8" a="1"/>
  <c r="Q114" i="8" s="1"/>
  <c r="P113" i="8" a="1"/>
  <c r="P113" i="8" s="1"/>
  <c r="N114" i="8" a="1"/>
  <c r="N114" i="8" s="1"/>
  <c r="M114" i="8" a="1"/>
  <c r="M114" i="8" s="1"/>
  <c r="E114" i="8" a="1"/>
  <c r="E114" i="8" s="1"/>
  <c r="L114" i="8" a="1"/>
  <c r="L114" i="8" s="1"/>
  <c r="V114" i="8" a="1"/>
  <c r="V114" i="8" s="1"/>
  <c r="K114" i="8" a="1"/>
  <c r="K114" i="8" s="1"/>
  <c r="U114" i="8" a="1"/>
  <c r="U114" i="8" s="1"/>
  <c r="J114" i="8" a="1"/>
  <c r="J114" i="8" s="1"/>
  <c r="R114" i="8" a="1"/>
  <c r="R114" i="8" s="1"/>
  <c r="S114" i="8" a="1"/>
  <c r="S114" i="8" s="1"/>
  <c r="O114" i="8" a="1"/>
  <c r="O114" i="8" s="1"/>
  <c r="B114" i="8" a="1"/>
  <c r="B114" i="8" s="1"/>
  <c r="I114" i="8" a="1"/>
  <c r="I114" i="8" s="1"/>
  <c r="H114" i="8" a="1"/>
  <c r="H114" i="8" s="1"/>
  <c r="G114" i="8" a="1"/>
  <c r="G114" i="8" s="1"/>
  <c r="F114" i="8" a="1"/>
  <c r="F114" i="8" s="1"/>
  <c r="T114" i="8" a="1"/>
  <c r="T114" i="8" s="1"/>
  <c r="Q107" i="8" a="1"/>
  <c r="Q107" i="8" s="1"/>
  <c r="P106" i="8" a="1"/>
  <c r="P106" i="8" s="1"/>
  <c r="I107" i="8" a="1"/>
  <c r="I107" i="8" s="1"/>
  <c r="R107" i="8" a="1"/>
  <c r="R107" i="8" s="1"/>
  <c r="H107" i="8" a="1"/>
  <c r="H107" i="8" s="1"/>
  <c r="O107" i="8" a="1"/>
  <c r="O107" i="8" s="1"/>
  <c r="G107" i="8" a="1"/>
  <c r="G107" i="8" s="1"/>
  <c r="F107" i="8" a="1"/>
  <c r="F107" i="8" s="1"/>
  <c r="V107" i="8" a="1"/>
  <c r="V107" i="8" s="1"/>
  <c r="M107" i="8" a="1"/>
  <c r="M107" i="8" s="1"/>
  <c r="E107" i="8" a="1"/>
  <c r="E107" i="8" s="1"/>
  <c r="J107" i="8" a="1"/>
  <c r="J107" i="8" s="1"/>
  <c r="U107" i="8" a="1"/>
  <c r="U107" i="8" s="1"/>
  <c r="B107" i="8" a="1"/>
  <c r="B107" i="8" s="1"/>
  <c r="T107" i="8" a="1"/>
  <c r="T107" i="8" s="1"/>
  <c r="S107" i="8" a="1"/>
  <c r="S107" i="8" s="1"/>
  <c r="N107" i="8" a="1"/>
  <c r="N107" i="8" s="1"/>
  <c r="L107" i="8" a="1"/>
  <c r="L107" i="8" s="1"/>
  <c r="K107" i="8" a="1"/>
  <c r="K107" i="8" s="1"/>
  <c r="O195" i="8" a="1"/>
  <c r="O195" i="8" s="1"/>
  <c r="H195" i="8" a="1"/>
  <c r="H195" i="8" s="1"/>
  <c r="V195" i="8" a="1"/>
  <c r="V195" i="8" s="1"/>
  <c r="N195" i="8" a="1"/>
  <c r="N195" i="8" s="1"/>
  <c r="G195" i="8" a="1"/>
  <c r="G195" i="8" s="1"/>
  <c r="U195" i="8" a="1"/>
  <c r="U195" i="8" s="1"/>
  <c r="M195" i="8" a="1"/>
  <c r="M195" i="8" s="1"/>
  <c r="F195" i="8" a="1"/>
  <c r="F195" i="8" s="1"/>
  <c r="E195" i="8" a="1"/>
  <c r="E195" i="8" s="1"/>
  <c r="T195" i="8" a="1"/>
  <c r="T195" i="8" s="1"/>
  <c r="L195" i="8" a="1"/>
  <c r="L195" i="8" s="1"/>
  <c r="Q195" i="8" a="1"/>
  <c r="Q195" i="8" s="1"/>
  <c r="K195" i="8" a="1"/>
  <c r="K195" i="8" s="1"/>
  <c r="S195" i="8" a="1"/>
  <c r="S195" i="8" s="1"/>
  <c r="J195" i="8" a="1"/>
  <c r="J195" i="8" s="1"/>
  <c r="B195" i="8" a="1"/>
  <c r="B195" i="8" s="1"/>
  <c r="P194" i="8" a="1"/>
  <c r="P194" i="8" s="1"/>
  <c r="R195" i="8" a="1"/>
  <c r="R195" i="8" s="1"/>
  <c r="I195" i="8" a="1"/>
  <c r="I195" i="8" s="1"/>
  <c r="R183" i="8" a="1"/>
  <c r="R183" i="8" s="1"/>
  <c r="I183" i="8" a="1"/>
  <c r="I183" i="8" s="1"/>
  <c r="O183" i="8" a="1"/>
  <c r="O183" i="8" s="1"/>
  <c r="H183" i="8" a="1"/>
  <c r="H183" i="8" s="1"/>
  <c r="V183" i="8" a="1"/>
  <c r="V183" i="8" s="1"/>
  <c r="N183" i="8" a="1"/>
  <c r="N183" i="8" s="1"/>
  <c r="G183" i="8" a="1"/>
  <c r="G183" i="8" s="1"/>
  <c r="U183" i="8" a="1"/>
  <c r="U183" i="8" s="1"/>
  <c r="M183" i="8" a="1"/>
  <c r="M183" i="8" s="1"/>
  <c r="F183" i="8" a="1"/>
  <c r="F183" i="8" s="1"/>
  <c r="E183" i="8" a="1"/>
  <c r="E183" i="8" s="1"/>
  <c r="Q183" i="8" a="1"/>
  <c r="Q183" i="8" s="1"/>
  <c r="T183" i="8" a="1"/>
  <c r="T183" i="8" s="1"/>
  <c r="L183" i="8" a="1"/>
  <c r="L183" i="8" s="1"/>
  <c r="K183" i="8" a="1"/>
  <c r="K183" i="8" s="1"/>
  <c r="P182" i="8" a="1"/>
  <c r="P182" i="8" s="1"/>
  <c r="S183" i="8" a="1"/>
  <c r="S183" i="8" s="1"/>
  <c r="J183" i="8" a="1"/>
  <c r="J183" i="8" s="1"/>
  <c r="B183" i="8" a="1"/>
  <c r="B183" i="8" s="1"/>
  <c r="S178" i="8" a="1"/>
  <c r="S178" i="8" s="1"/>
  <c r="H178" i="8" a="1"/>
  <c r="H178" i="8" s="1"/>
  <c r="Q178" i="8" a="1"/>
  <c r="Q178" i="8" s="1"/>
  <c r="G178" i="8" a="1"/>
  <c r="G178" i="8" s="1"/>
  <c r="R178" i="8" a="1"/>
  <c r="R178" i="8" s="1"/>
  <c r="O178" i="8" a="1"/>
  <c r="O178" i="8" s="1"/>
  <c r="F178" i="8" a="1"/>
  <c r="F178" i="8" s="1"/>
  <c r="P177" i="8" a="1"/>
  <c r="P177" i="8" s="1"/>
  <c r="N178" i="8" a="1"/>
  <c r="N178" i="8" s="1"/>
  <c r="M178" i="8" a="1"/>
  <c r="M178" i="8" s="1"/>
  <c r="E178" i="8" a="1"/>
  <c r="E178" i="8" s="1"/>
  <c r="B178" i="8" a="1"/>
  <c r="B178" i="8" s="1"/>
  <c r="L178" i="8" a="1"/>
  <c r="L178" i="8" s="1"/>
  <c r="V178" i="8" a="1"/>
  <c r="V178" i="8" s="1"/>
  <c r="K178" i="8" a="1"/>
  <c r="K178" i="8" s="1"/>
  <c r="T178" i="8" a="1"/>
  <c r="T178" i="8" s="1"/>
  <c r="I178" i="8" a="1"/>
  <c r="I178" i="8" s="1"/>
  <c r="J178" i="8" a="1"/>
  <c r="J178" i="8" s="1"/>
  <c r="U178" i="8" a="1"/>
  <c r="U178" i="8" s="1"/>
  <c r="P169" i="8" a="1"/>
  <c r="P169" i="8" s="1"/>
  <c r="Q170" i="8" a="1"/>
  <c r="Q170" i="8" s="1"/>
  <c r="J170" i="8" a="1"/>
  <c r="J170" i="8" s="1"/>
  <c r="S170" i="8" a="1"/>
  <c r="S170" i="8" s="1"/>
  <c r="I170" i="8" a="1"/>
  <c r="I170" i="8" s="1"/>
  <c r="R170" i="8" a="1"/>
  <c r="R170" i="8" s="1"/>
  <c r="H170" i="8" a="1"/>
  <c r="H170" i="8" s="1"/>
  <c r="O170" i="8" a="1"/>
  <c r="O170" i="8" s="1"/>
  <c r="G170" i="8" a="1"/>
  <c r="G170" i="8" s="1"/>
  <c r="N170" i="8" a="1"/>
  <c r="N170" i="8" s="1"/>
  <c r="F170" i="8" a="1"/>
  <c r="F170" i="8" s="1"/>
  <c r="V170" i="8" a="1"/>
  <c r="V170" i="8" s="1"/>
  <c r="M170" i="8" a="1"/>
  <c r="M170" i="8" s="1"/>
  <c r="E170" i="8" a="1"/>
  <c r="E170" i="8" s="1"/>
  <c r="U170" i="8" a="1"/>
  <c r="U170" i="8" s="1"/>
  <c r="T170" i="8" a="1"/>
  <c r="T170" i="8" s="1"/>
  <c r="L170" i="8" a="1"/>
  <c r="L170" i="8" s="1"/>
  <c r="K170" i="8" a="1"/>
  <c r="K170" i="8" s="1"/>
  <c r="B170" i="8" a="1"/>
  <c r="B170" i="8" s="1"/>
  <c r="Q130" i="8" a="1"/>
  <c r="Q130" i="8" s="1"/>
  <c r="P129" i="8" a="1"/>
  <c r="P129" i="8" s="1"/>
  <c r="R130" i="8" a="1"/>
  <c r="R130" i="8" s="1"/>
  <c r="H130" i="8" a="1"/>
  <c r="H130" i="8" s="1"/>
  <c r="O130" i="8" a="1"/>
  <c r="O130" i="8" s="1"/>
  <c r="G130" i="8" a="1"/>
  <c r="G130" i="8" s="1"/>
  <c r="N130" i="8" a="1"/>
  <c r="N130" i="8" s="1"/>
  <c r="F130" i="8" a="1"/>
  <c r="F130" i="8" s="1"/>
  <c r="E130" i="8" a="1"/>
  <c r="E130" i="8" s="1"/>
  <c r="M130" i="8" a="1"/>
  <c r="M130" i="8" s="1"/>
  <c r="B130" i="8" a="1"/>
  <c r="B130" i="8" s="1"/>
  <c r="V130" i="8" a="1"/>
  <c r="V130" i="8" s="1"/>
  <c r="L130" i="8" a="1"/>
  <c r="L130" i="8" s="1"/>
  <c r="U130" i="8" a="1"/>
  <c r="U130" i="8" s="1"/>
  <c r="K130" i="8" a="1"/>
  <c r="K130" i="8" s="1"/>
  <c r="I130" i="8" a="1"/>
  <c r="I130" i="8" s="1"/>
  <c r="S130" i="8" a="1"/>
  <c r="S130" i="8" s="1"/>
  <c r="T130" i="8" a="1"/>
  <c r="T130" i="8" s="1"/>
  <c r="J130" i="8" a="1"/>
  <c r="J130" i="8" s="1"/>
  <c r="Q136" i="8" a="1"/>
  <c r="Q136" i="8" s="1"/>
  <c r="R136" i="8" a="1"/>
  <c r="R136" i="8" s="1"/>
  <c r="P135" i="8" a="1"/>
  <c r="P135" i="8" s="1"/>
  <c r="V136" i="8" a="1"/>
  <c r="V136" i="8" s="1"/>
  <c r="T136" i="8" a="1"/>
  <c r="T136" i="8" s="1"/>
  <c r="H136" i="8" a="1"/>
  <c r="H136" i="8" s="1"/>
  <c r="S136" i="8" a="1"/>
  <c r="S136" i="8" s="1"/>
  <c r="G136" i="8" a="1"/>
  <c r="G136" i="8" s="1"/>
  <c r="O136" i="8" a="1"/>
  <c r="O136" i="8" s="1"/>
  <c r="F136" i="8" a="1"/>
  <c r="F136" i="8" s="1"/>
  <c r="N136" i="8" a="1"/>
  <c r="N136" i="8" s="1"/>
  <c r="E136" i="8" a="1"/>
  <c r="E136" i="8" s="1"/>
  <c r="M136" i="8" a="1"/>
  <c r="M136" i="8" s="1"/>
  <c r="B136" i="8" a="1"/>
  <c r="B136" i="8" s="1"/>
  <c r="L136" i="8" a="1"/>
  <c r="L136" i="8" s="1"/>
  <c r="K136" i="8" a="1"/>
  <c r="K136" i="8" s="1"/>
  <c r="J136" i="8" a="1"/>
  <c r="J136" i="8" s="1"/>
  <c r="I136" i="8" a="1"/>
  <c r="I136" i="8" s="1"/>
  <c r="U136" i="8" a="1"/>
  <c r="U136" i="8" s="1"/>
  <c r="P143" i="8" a="1"/>
  <c r="P143" i="8" s="1"/>
  <c r="Q144" i="8" a="1"/>
  <c r="Q144" i="8" s="1"/>
  <c r="T144" i="8" a="1"/>
  <c r="T144" i="8" s="1"/>
  <c r="I144" i="8" a="1"/>
  <c r="I144" i="8" s="1"/>
  <c r="R144" i="8" a="1"/>
  <c r="R144" i="8" s="1"/>
  <c r="H144" i="8" a="1"/>
  <c r="H144" i="8" s="1"/>
  <c r="O144" i="8" a="1"/>
  <c r="O144" i="8" s="1"/>
  <c r="F144" i="8" a="1"/>
  <c r="F144" i="8" s="1"/>
  <c r="E144" i="8" a="1"/>
  <c r="E144" i="8" s="1"/>
  <c r="V144" i="8" a="1"/>
  <c r="V144" i="8" s="1"/>
  <c r="L144" i="8" a="1"/>
  <c r="L144" i="8" s="1"/>
  <c r="B144" i="8" a="1"/>
  <c r="B144" i="8" s="1"/>
  <c r="K144" i="8" a="1"/>
  <c r="K144" i="8" s="1"/>
  <c r="J144" i="8" a="1"/>
  <c r="J144" i="8" s="1"/>
  <c r="G144" i="8" a="1"/>
  <c r="G144" i="8" s="1"/>
  <c r="U144" i="8" a="1"/>
  <c r="U144" i="8" s="1"/>
  <c r="S144" i="8" a="1"/>
  <c r="S144" i="8" s="1"/>
  <c r="N144" i="8" a="1"/>
  <c r="N144" i="8" s="1"/>
  <c r="M144" i="8" a="1"/>
  <c r="M144" i="8" s="1"/>
  <c r="Q154" i="8" a="1"/>
  <c r="Q154" i="8" s="1"/>
  <c r="P153" i="8" a="1"/>
  <c r="P153" i="8" s="1"/>
  <c r="E154" i="8" a="1"/>
  <c r="E154" i="8" s="1"/>
  <c r="V154" i="8" a="1"/>
  <c r="V154" i="8" s="1"/>
  <c r="L154" i="8" a="1"/>
  <c r="L154" i="8" s="1"/>
  <c r="U154" i="8" a="1"/>
  <c r="U154" i="8" s="1"/>
  <c r="B154" i="8" a="1"/>
  <c r="B154" i="8" s="1"/>
  <c r="T154" i="8" a="1"/>
  <c r="T154" i="8" s="1"/>
  <c r="K154" i="8" a="1"/>
  <c r="K154" i="8" s="1"/>
  <c r="S154" i="8" a="1"/>
  <c r="S154" i="8" s="1"/>
  <c r="J154" i="8" a="1"/>
  <c r="J154" i="8" s="1"/>
  <c r="I154" i="8" a="1"/>
  <c r="I154" i="8" s="1"/>
  <c r="R154" i="8" a="1"/>
  <c r="R154" i="8" s="1"/>
  <c r="H154" i="8" a="1"/>
  <c r="H154" i="8" s="1"/>
  <c r="O154" i="8" a="1"/>
  <c r="O154" i="8" s="1"/>
  <c r="N154" i="8" a="1"/>
  <c r="N154" i="8" s="1"/>
  <c r="G154" i="8" a="1"/>
  <c r="G154" i="8" s="1"/>
  <c r="F154" i="8" a="1"/>
  <c r="F154" i="8" s="1"/>
  <c r="M154" i="8" a="1"/>
  <c r="M154" i="8" s="1"/>
  <c r="Q112" i="8" a="1"/>
  <c r="Q112" i="8" s="1"/>
  <c r="P111" i="8" a="1"/>
  <c r="P111" i="8" s="1"/>
  <c r="S112" i="8" a="1"/>
  <c r="S112" i="8" s="1"/>
  <c r="G112" i="8" a="1"/>
  <c r="G112" i="8" s="1"/>
  <c r="R112" i="8" a="1"/>
  <c r="R112" i="8" s="1"/>
  <c r="F112" i="8" a="1"/>
  <c r="F112" i="8" s="1"/>
  <c r="N112" i="8" a="1"/>
  <c r="N112" i="8" s="1"/>
  <c r="E112" i="8" a="1"/>
  <c r="E112" i="8" s="1"/>
  <c r="L112" i="8" a="1"/>
  <c r="L112" i="8" s="1"/>
  <c r="U112" i="8" a="1"/>
  <c r="U112" i="8" s="1"/>
  <c r="I112" i="8" a="1"/>
  <c r="I112" i="8" s="1"/>
  <c r="V112" i="8" a="1"/>
  <c r="V112" i="8" s="1"/>
  <c r="T112" i="8" a="1"/>
  <c r="T112" i="8" s="1"/>
  <c r="O112" i="8" a="1"/>
  <c r="O112" i="8" s="1"/>
  <c r="M112" i="8" a="1"/>
  <c r="M112" i="8" s="1"/>
  <c r="K112" i="8" a="1"/>
  <c r="K112" i="8" s="1"/>
  <c r="J112" i="8" a="1"/>
  <c r="J112" i="8" s="1"/>
  <c r="H112" i="8" a="1"/>
  <c r="H112" i="8" s="1"/>
  <c r="B112" i="8" a="1"/>
  <c r="B112" i="8" s="1"/>
  <c r="P121" i="8" a="1"/>
  <c r="P121" i="8" s="1"/>
  <c r="Q122" i="8" a="1"/>
  <c r="Q122" i="8" s="1"/>
  <c r="M122" i="8" a="1"/>
  <c r="M122" i="8" s="1"/>
  <c r="F122" i="8" a="1"/>
  <c r="F122" i="8" s="1"/>
  <c r="V122" i="8" a="1"/>
  <c r="V122" i="8" s="1"/>
  <c r="E122" i="8" a="1"/>
  <c r="E122" i="8" s="1"/>
  <c r="U122" i="8" a="1"/>
  <c r="U122" i="8" s="1"/>
  <c r="K122" i="8" a="1"/>
  <c r="K122" i="8" s="1"/>
  <c r="B122" i="8" a="1"/>
  <c r="B122" i="8" s="1"/>
  <c r="T122" i="8" a="1"/>
  <c r="T122" i="8" s="1"/>
  <c r="J122" i="8" a="1"/>
  <c r="J122" i="8" s="1"/>
  <c r="S122" i="8" a="1"/>
  <c r="S122" i="8" s="1"/>
  <c r="R122" i="8" a="1"/>
  <c r="R122" i="8" s="1"/>
  <c r="O122" i="8" a="1"/>
  <c r="O122" i="8" s="1"/>
  <c r="G122" i="8" a="1"/>
  <c r="G122" i="8" s="1"/>
  <c r="H122" i="8" a="1"/>
  <c r="H122" i="8" s="1"/>
  <c r="L122" i="8" a="1"/>
  <c r="L122" i="8" s="1"/>
  <c r="N122" i="8" a="1"/>
  <c r="N122" i="8" s="1"/>
  <c r="I122" i="8" a="1"/>
  <c r="I122" i="8" s="1"/>
  <c r="Q115" i="8" a="1"/>
  <c r="Q115" i="8" s="1"/>
  <c r="P114" i="8" a="1"/>
  <c r="P114" i="8" s="1"/>
  <c r="O115" i="8" a="1"/>
  <c r="O115" i="8" s="1"/>
  <c r="G115" i="8" a="1"/>
  <c r="G115" i="8" s="1"/>
  <c r="N115" i="8" a="1"/>
  <c r="N115" i="8" s="1"/>
  <c r="F115" i="8" a="1"/>
  <c r="F115" i="8" s="1"/>
  <c r="L115" i="8" a="1"/>
  <c r="L115" i="8" s="1"/>
  <c r="E115" i="8" a="1"/>
  <c r="E115" i="8" s="1"/>
  <c r="V115" i="8" a="1"/>
  <c r="V115" i="8" s="1"/>
  <c r="K115" i="8" a="1"/>
  <c r="K115" i="8" s="1"/>
  <c r="U115" i="8" a="1"/>
  <c r="U115" i="8" s="1"/>
  <c r="H115" i="8" a="1"/>
  <c r="H115" i="8" s="1"/>
  <c r="T115" i="8" a="1"/>
  <c r="T115" i="8" s="1"/>
  <c r="S115" i="8" a="1"/>
  <c r="S115" i="8" s="1"/>
  <c r="R115" i="8" a="1"/>
  <c r="R115" i="8" s="1"/>
  <c r="M115" i="8" a="1"/>
  <c r="M115" i="8" s="1"/>
  <c r="J115" i="8" a="1"/>
  <c r="J115" i="8" s="1"/>
  <c r="I115" i="8" a="1"/>
  <c r="I115" i="8" s="1"/>
  <c r="B115" i="8" a="1"/>
  <c r="B115" i="8" s="1"/>
  <c r="O199" i="8" a="1"/>
  <c r="O199" i="8" s="1"/>
  <c r="H199" i="8" a="1"/>
  <c r="H199" i="8" s="1"/>
  <c r="G199" i="8" a="1"/>
  <c r="G199" i="8" s="1"/>
  <c r="N199" i="8" a="1"/>
  <c r="N199" i="8" s="1"/>
  <c r="F199" i="8" a="1"/>
  <c r="F199" i="8" s="1"/>
  <c r="M199" i="8" a="1"/>
  <c r="M199" i="8" s="1"/>
  <c r="Q199" i="8" a="1"/>
  <c r="Q199" i="8" s="1"/>
  <c r="V199" i="8" a="1"/>
  <c r="V199" i="8" s="1"/>
  <c r="L199" i="8" a="1"/>
  <c r="L199" i="8" s="1"/>
  <c r="E199" i="8" a="1"/>
  <c r="E199" i="8" s="1"/>
  <c r="U199" i="8" a="1"/>
  <c r="U199" i="8" s="1"/>
  <c r="K199" i="8" a="1"/>
  <c r="K199" i="8" s="1"/>
  <c r="B199" i="8" a="1"/>
  <c r="B199" i="8" s="1"/>
  <c r="P198" i="8" a="1"/>
  <c r="P198" i="8" s="1"/>
  <c r="T199" i="8" a="1"/>
  <c r="T199" i="8" s="1"/>
  <c r="J199" i="8" a="1"/>
  <c r="J199" i="8" s="1"/>
  <c r="S199" i="8" a="1"/>
  <c r="S199" i="8" s="1"/>
  <c r="R199" i="8" a="1"/>
  <c r="R199" i="8" s="1"/>
  <c r="I199" i="8" a="1"/>
  <c r="I199" i="8" s="1"/>
  <c r="P193" i="8" a="1"/>
  <c r="P193" i="8" s="1"/>
  <c r="U194" i="8" a="1"/>
  <c r="U194" i="8" s="1"/>
  <c r="B194" i="8" a="1"/>
  <c r="B194" i="8" s="1"/>
  <c r="L194" i="8" a="1"/>
  <c r="L194" i="8" s="1"/>
  <c r="T194" i="8" a="1"/>
  <c r="T194" i="8" s="1"/>
  <c r="K194" i="8" a="1"/>
  <c r="K194" i="8" s="1"/>
  <c r="J194" i="8" a="1"/>
  <c r="J194" i="8" s="1"/>
  <c r="S194" i="8" a="1"/>
  <c r="S194" i="8" s="1"/>
  <c r="I194" i="8" a="1"/>
  <c r="I194" i="8" s="1"/>
  <c r="R194" i="8" a="1"/>
  <c r="R194" i="8" s="1"/>
  <c r="H194" i="8" a="1"/>
  <c r="H194" i="8" s="1"/>
  <c r="O194" i="8" a="1"/>
  <c r="O194" i="8" s="1"/>
  <c r="G194" i="8" a="1"/>
  <c r="G194" i="8" s="1"/>
  <c r="Q194" i="8" a="1"/>
  <c r="Q194" i="8" s="1"/>
  <c r="N194" i="8" a="1"/>
  <c r="N194" i="8" s="1"/>
  <c r="V194" i="8" a="1"/>
  <c r="V194" i="8" s="1"/>
  <c r="M194" i="8" a="1"/>
  <c r="M194" i="8" s="1"/>
  <c r="E194" i="8" a="1"/>
  <c r="E194" i="8" s="1"/>
  <c r="F194" i="8" a="1"/>
  <c r="F194" i="8" s="1"/>
  <c r="Q171" i="8" a="1"/>
  <c r="Q171" i="8" s="1"/>
  <c r="P170" i="8" a="1"/>
  <c r="P170" i="8" s="1"/>
  <c r="V171" i="8" a="1"/>
  <c r="V171" i="8" s="1"/>
  <c r="N171" i="8" a="1"/>
  <c r="N171" i="8" s="1"/>
  <c r="G171" i="8" a="1"/>
  <c r="G171" i="8" s="1"/>
  <c r="U171" i="8" a="1"/>
  <c r="U171" i="8" s="1"/>
  <c r="M171" i="8" a="1"/>
  <c r="M171" i="8" s="1"/>
  <c r="F171" i="8" a="1"/>
  <c r="F171" i="8" s="1"/>
  <c r="E171" i="8" a="1"/>
  <c r="E171" i="8" s="1"/>
  <c r="T171" i="8" a="1"/>
  <c r="T171" i="8" s="1"/>
  <c r="L171" i="8" a="1"/>
  <c r="L171" i="8" s="1"/>
  <c r="K171" i="8" a="1"/>
  <c r="K171" i="8" s="1"/>
  <c r="S171" i="8" a="1"/>
  <c r="S171" i="8" s="1"/>
  <c r="J171" i="8" a="1"/>
  <c r="J171" i="8" s="1"/>
  <c r="B171" i="8" a="1"/>
  <c r="B171" i="8" s="1"/>
  <c r="R171" i="8" a="1"/>
  <c r="R171" i="8" s="1"/>
  <c r="I171" i="8" a="1"/>
  <c r="I171" i="8" s="1"/>
  <c r="O171" i="8" a="1"/>
  <c r="O171" i="8" s="1"/>
  <c r="H171" i="8" a="1"/>
  <c r="H171" i="8" s="1"/>
  <c r="N202" i="8" a="1"/>
  <c r="N202" i="8" s="1"/>
  <c r="Q202" i="8" a="1"/>
  <c r="Q202" i="8" s="1"/>
  <c r="M202" i="8" a="1"/>
  <c r="M202" i="8" s="1"/>
  <c r="E202" i="8" a="1"/>
  <c r="E202" i="8" s="1"/>
  <c r="B202" i="8" a="1"/>
  <c r="B202" i="8" s="1"/>
  <c r="L202" i="8" a="1"/>
  <c r="L202" i="8" s="1"/>
  <c r="P201" i="8" a="1"/>
  <c r="P201" i="8" s="1"/>
  <c r="V202" i="8" a="1"/>
  <c r="V202" i="8" s="1"/>
  <c r="K202" i="8" a="1"/>
  <c r="K202" i="8" s="1"/>
  <c r="U202" i="8" a="1"/>
  <c r="U202" i="8" s="1"/>
  <c r="J202" i="8" a="1"/>
  <c r="J202" i="8" s="1"/>
  <c r="T202" i="8" a="1"/>
  <c r="T202" i="8" s="1"/>
  <c r="I202" i="8" a="1"/>
  <c r="I202" i="8" s="1"/>
  <c r="S202" i="8" a="1"/>
  <c r="S202" i="8" s="1"/>
  <c r="H202" i="8" a="1"/>
  <c r="H202" i="8" s="1"/>
  <c r="G202" i="8" a="1"/>
  <c r="G202" i="8" s="1"/>
  <c r="O202" i="8" a="1"/>
  <c r="O202" i="8" s="1"/>
  <c r="F202" i="8" a="1"/>
  <c r="F202" i="8" s="1"/>
  <c r="R202" i="8" a="1"/>
  <c r="R202" i="8" s="1"/>
  <c r="U106" i="8" a="1"/>
  <c r="U106" i="8" s="1"/>
  <c r="B106" i="8" a="1"/>
  <c r="B106" i="8" s="1"/>
  <c r="T106" i="8" a="1"/>
  <c r="T106" i="8" s="1"/>
  <c r="S106" i="8" a="1"/>
  <c r="S106" i="8" s="1"/>
  <c r="F106" i="8" a="1"/>
  <c r="F106" i="8" s="1"/>
  <c r="E106" i="8" a="1"/>
  <c r="E106" i="8" s="1"/>
  <c r="V106" i="8" a="1"/>
  <c r="V106" i="8" s="1"/>
  <c r="D113" i="8" l="1"/>
  <c r="W130" i="8"/>
  <c r="C130" i="8"/>
  <c r="W131" i="8"/>
  <c r="D131" i="8"/>
  <c r="C131" i="8"/>
  <c r="C142" i="8"/>
  <c r="W142" i="8"/>
  <c r="D142" i="8"/>
  <c r="C124" i="8"/>
  <c r="W124" i="8"/>
  <c r="D124" i="8"/>
  <c r="W178" i="8"/>
  <c r="D178" i="8"/>
  <c r="C178" i="8"/>
  <c r="W183" i="8"/>
  <c r="C183" i="8"/>
  <c r="D183" i="8"/>
  <c r="W116" i="8"/>
  <c r="C116" i="8"/>
  <c r="C111" i="8"/>
  <c r="D111" i="8"/>
  <c r="W111" i="8"/>
  <c r="C182" i="8"/>
  <c r="D182" i="8"/>
  <c r="W182" i="8"/>
  <c r="D159" i="8"/>
  <c r="W159" i="8"/>
  <c r="C159" i="8"/>
  <c r="W200" i="8"/>
  <c r="D200" i="8"/>
  <c r="C200" i="8"/>
  <c r="W119" i="8"/>
  <c r="C119" i="8"/>
  <c r="D119" i="8"/>
  <c r="D175" i="8"/>
  <c r="W175" i="8"/>
  <c r="C175" i="8"/>
  <c r="W192" i="8"/>
  <c r="D192" i="8"/>
  <c r="C192" i="8"/>
  <c r="D132" i="8"/>
  <c r="W132" i="8"/>
  <c r="C132" i="8"/>
  <c r="D121" i="8"/>
  <c r="C121" i="8"/>
  <c r="W121" i="8"/>
  <c r="W112" i="8"/>
  <c r="D112" i="8"/>
  <c r="C112" i="8"/>
  <c r="W136" i="8"/>
  <c r="D136" i="8"/>
  <c r="C136" i="8"/>
  <c r="D130" i="8"/>
  <c r="C161" i="8"/>
  <c r="W161" i="8"/>
  <c r="D161" i="8"/>
  <c r="W143" i="8"/>
  <c r="D143" i="8"/>
  <c r="C143" i="8"/>
  <c r="D189" i="8"/>
  <c r="C189" i="8"/>
  <c r="W189" i="8"/>
  <c r="C203" i="8"/>
  <c r="W203" i="8"/>
  <c r="D203" i="8"/>
  <c r="W187" i="8"/>
  <c r="C187" i="8"/>
  <c r="D187" i="8"/>
  <c r="W122" i="8"/>
  <c r="C122" i="8"/>
  <c r="D122" i="8"/>
  <c r="W114" i="8"/>
  <c r="D114" i="8"/>
  <c r="C114" i="8"/>
  <c r="W147" i="8"/>
  <c r="C147" i="8"/>
  <c r="D147" i="8"/>
  <c r="W169" i="8"/>
  <c r="D169" i="8"/>
  <c r="C169" i="8"/>
  <c r="D123" i="8"/>
  <c r="W123" i="8"/>
  <c r="C123" i="8"/>
  <c r="C137" i="8"/>
  <c r="W137" i="8"/>
  <c r="D137" i="8"/>
  <c r="W151" i="8"/>
  <c r="D151" i="8"/>
  <c r="C151" i="8"/>
  <c r="D148" i="8"/>
  <c r="C148" i="8"/>
  <c r="W148" i="8"/>
  <c r="C139" i="8"/>
  <c r="D139" i="8"/>
  <c r="W139" i="8"/>
  <c r="W176" i="8"/>
  <c r="D176" i="8"/>
  <c r="C176" i="8"/>
  <c r="W145" i="8"/>
  <c r="C145" i="8"/>
  <c r="D145" i="8"/>
  <c r="W185" i="8"/>
  <c r="D185" i="8"/>
  <c r="C185" i="8"/>
  <c r="C125" i="8"/>
  <c r="D125" i="8"/>
  <c r="W125" i="8"/>
  <c r="C177" i="8"/>
  <c r="W177" i="8"/>
  <c r="D177" i="8"/>
  <c r="W133" i="8"/>
  <c r="D133" i="8"/>
  <c r="C133" i="8"/>
  <c r="W126" i="8"/>
  <c r="D126" i="8"/>
  <c r="C126" i="8"/>
  <c r="W191" i="8"/>
  <c r="D191" i="8"/>
  <c r="C191" i="8"/>
  <c r="D110" i="8"/>
  <c r="W110" i="8"/>
  <c r="C110" i="8"/>
  <c r="C162" i="8"/>
  <c r="W162" i="8"/>
  <c r="D162" i="8"/>
  <c r="D179" i="8"/>
  <c r="W179" i="8"/>
  <c r="C179" i="8"/>
  <c r="D194" i="8"/>
  <c r="W194" i="8"/>
  <c r="C194" i="8"/>
  <c r="W171" i="8"/>
  <c r="C171" i="8"/>
  <c r="D171" i="8"/>
  <c r="D116" i="8"/>
  <c r="W129" i="8"/>
  <c r="D129" i="8"/>
  <c r="C129" i="8"/>
  <c r="W164" i="8"/>
  <c r="C164" i="8"/>
  <c r="D164" i="8"/>
  <c r="W166" i="8"/>
  <c r="D166" i="8"/>
  <c r="C166" i="8"/>
  <c r="C201" i="8"/>
  <c r="D201" i="8"/>
  <c r="W201" i="8"/>
  <c r="D184" i="8"/>
  <c r="W184" i="8"/>
  <c r="C184" i="8"/>
  <c r="W156" i="8"/>
  <c r="C156" i="8"/>
  <c r="D156" i="8"/>
  <c r="C128" i="8"/>
  <c r="D128" i="8"/>
  <c r="W128" i="8"/>
  <c r="D158" i="8"/>
  <c r="C158" i="8"/>
  <c r="W158" i="8"/>
  <c r="W163" i="8"/>
  <c r="D163" i="8"/>
  <c r="C163" i="8"/>
  <c r="C154" i="8"/>
  <c r="D154" i="8"/>
  <c r="W154" i="8"/>
  <c r="W120" i="8"/>
  <c r="C120" i="8"/>
  <c r="D120" i="8"/>
  <c r="D134" i="8"/>
  <c r="W134" i="8"/>
  <c r="C134" i="8"/>
  <c r="C140" i="8"/>
  <c r="D140" i="8"/>
  <c r="W140" i="8"/>
  <c r="W197" i="8"/>
  <c r="D197" i="8"/>
  <c r="C197" i="8"/>
  <c r="W127" i="8"/>
  <c r="C127" i="8"/>
  <c r="D127" i="8"/>
  <c r="W152" i="8"/>
  <c r="D152" i="8"/>
  <c r="C152" i="8"/>
  <c r="D135" i="8"/>
  <c r="C135" i="8"/>
  <c r="W135" i="8"/>
  <c r="W155" i="8"/>
  <c r="D155" i="8"/>
  <c r="C155" i="8"/>
  <c r="D160" i="8"/>
  <c r="W160" i="8"/>
  <c r="C160" i="8"/>
  <c r="W117" i="8"/>
  <c r="D117" i="8"/>
  <c r="C117" i="8"/>
  <c r="C180" i="8"/>
  <c r="W180" i="8"/>
  <c r="D180" i="8"/>
  <c r="W107" i="8"/>
  <c r="D107" i="8"/>
  <c r="C107" i="8"/>
  <c r="C174" i="8"/>
  <c r="D174" i="8"/>
  <c r="W174" i="8"/>
  <c r="W181" i="8"/>
  <c r="D181" i="8"/>
  <c r="C181" i="8"/>
  <c r="D108" i="8"/>
  <c r="C108" i="8"/>
  <c r="W108" i="8"/>
  <c r="W153" i="8"/>
  <c r="D153" i="8"/>
  <c r="C153" i="8"/>
  <c r="W150" i="8"/>
  <c r="D150" i="8"/>
  <c r="C150" i="8"/>
  <c r="W202" i="8"/>
  <c r="D202" i="8"/>
  <c r="C202" i="8"/>
  <c r="D109" i="8"/>
  <c r="W109" i="8"/>
  <c r="C109" i="8"/>
  <c r="C198" i="8"/>
  <c r="D198" i="8"/>
  <c r="W198" i="8"/>
  <c r="W190" i="8"/>
  <c r="D190" i="8"/>
  <c r="C190" i="8"/>
  <c r="W141" i="8"/>
  <c r="D141" i="8"/>
  <c r="C141" i="8"/>
  <c r="D118" i="8"/>
  <c r="W118" i="8"/>
  <c r="C118" i="8"/>
  <c r="C188" i="8"/>
  <c r="W188" i="8"/>
  <c r="D188" i="8"/>
  <c r="D146" i="8"/>
  <c r="W146" i="8"/>
  <c r="C146" i="8"/>
  <c r="D172" i="8"/>
  <c r="C172" i="8"/>
  <c r="W172" i="8"/>
  <c r="D196" i="8"/>
  <c r="C196" i="8"/>
  <c r="W196" i="8"/>
  <c r="D199" i="8"/>
  <c r="C199" i="8"/>
  <c r="W199" i="8"/>
  <c r="W115" i="8"/>
  <c r="D115" i="8"/>
  <c r="C115" i="8"/>
  <c r="W138" i="8"/>
  <c r="D138" i="8"/>
  <c r="C138" i="8"/>
  <c r="C149" i="8"/>
  <c r="D149" i="8"/>
  <c r="W149" i="8"/>
  <c r="C186" i="8"/>
  <c r="D186" i="8"/>
  <c r="W186" i="8"/>
  <c r="C113" i="8"/>
  <c r="W113" i="8"/>
  <c r="W167" i="8"/>
  <c r="C167" i="8"/>
  <c r="D167" i="8"/>
  <c r="D144" i="8"/>
  <c r="C144" i="8"/>
  <c r="W144" i="8"/>
  <c r="D170" i="8"/>
  <c r="W170" i="8"/>
  <c r="C170" i="8"/>
  <c r="W195" i="8"/>
  <c r="C195" i="8"/>
  <c r="D195" i="8"/>
  <c r="D165" i="8"/>
  <c r="W165" i="8"/>
  <c r="C165" i="8"/>
  <c r="W173" i="8"/>
  <c r="D173" i="8"/>
  <c r="C173" i="8"/>
  <c r="C193" i="8"/>
  <c r="D193" i="8"/>
  <c r="W193" i="8"/>
  <c r="C157" i="8"/>
  <c r="W157" i="8"/>
  <c r="D157" i="8"/>
  <c r="C168" i="8"/>
  <c r="W168" i="8"/>
  <c r="D168" i="8"/>
  <c r="A172" i="8"/>
  <c r="A192" i="8"/>
  <c r="A171" i="8"/>
  <c r="A134" i="8"/>
  <c r="A193" i="8"/>
  <c r="A152" i="8"/>
  <c r="A197" i="8"/>
  <c r="A201" i="8"/>
  <c r="A160" i="8"/>
  <c r="A148" i="8"/>
  <c r="A198" i="8"/>
  <c r="A166" i="8"/>
  <c r="A179" i="8"/>
  <c r="A153" i="8"/>
  <c r="A189" i="8"/>
  <c r="A136" i="8"/>
  <c r="A159" i="8"/>
  <c r="A181" i="8"/>
  <c r="A177" i="8"/>
  <c r="A135" i="8"/>
  <c r="A133" i="8"/>
  <c r="A194" i="8"/>
  <c r="A145" i="8"/>
  <c r="A165" i="8"/>
  <c r="A176" i="8"/>
  <c r="A164" i="8"/>
  <c r="A151" i="8"/>
  <c r="A158" i="8"/>
  <c r="A182" i="8"/>
  <c r="A191" i="8"/>
  <c r="A147" i="8"/>
  <c r="A173" i="8"/>
  <c r="A156" i="8"/>
  <c r="A106" i="8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W106" i="8"/>
  <c r="C106" i="8"/>
  <c r="D106" i="8"/>
  <c r="A184" i="8"/>
  <c r="A202" i="8"/>
  <c r="A170" i="8"/>
  <c r="A154" i="8"/>
  <c r="A183" i="8"/>
  <c r="A138" i="8"/>
  <c r="A174" i="8"/>
  <c r="A143" i="8"/>
  <c r="A163" i="8"/>
  <c r="A169" i="8"/>
  <c r="A132" i="8"/>
  <c r="A200" i="8"/>
  <c r="A175" i="8"/>
  <c r="A162" i="8"/>
  <c r="A141" i="8"/>
  <c r="A146" i="8"/>
  <c r="A155" i="8"/>
  <c r="A137" i="8"/>
  <c r="A139" i="8"/>
  <c r="A187" i="8"/>
  <c r="A185" i="8"/>
  <c r="A186" i="8"/>
  <c r="A142" i="8"/>
  <c r="A190" i="8"/>
  <c r="A167" i="8"/>
  <c r="A140" i="8"/>
  <c r="A168" i="8"/>
  <c r="A150" i="8"/>
  <c r="A199" i="8"/>
  <c r="A144" i="8"/>
  <c r="A178" i="8"/>
  <c r="A195" i="8"/>
  <c r="A161" i="8"/>
  <c r="A149" i="8"/>
  <c r="A188" i="8"/>
  <c r="A157" i="8"/>
  <c r="A196" i="8"/>
  <c r="A180" i="8"/>
  <c r="A203" i="8"/>
  <c r="G35" i="4" l="1" a="1"/>
  <c r="G35" i="4" s="1"/>
  <c r="G81" i="4" s="1"/>
  <c r="F35" i="4" a="1"/>
  <c r="F35" i="4" s="1"/>
  <c r="F81" i="4" s="1"/>
  <c r="D35" i="4" a="1"/>
  <c r="D35" i="4" s="1"/>
  <c r="D81" i="4" l="1"/>
  <c r="K43" i="3" l="1"/>
  <c r="F80" i="4"/>
  <c r="E80" i="4"/>
  <c r="D80" i="4"/>
  <c r="F34" i="4"/>
  <c r="F37" i="4" s="1"/>
  <c r="E34" i="4"/>
  <c r="E35" i="4" s="1"/>
  <c r="E81" i="4" s="1"/>
  <c r="D34" i="4"/>
  <c r="G7" i="4"/>
  <c r="G53" i="4" s="1"/>
  <c r="F6" i="4"/>
  <c r="F52" i="4" s="1"/>
  <c r="B7" i="4"/>
  <c r="B53" i="4" s="1"/>
  <c r="B8" i="4"/>
  <c r="B54" i="4" s="1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D90" i="4"/>
  <c r="B55" i="4"/>
  <c r="F48" i="4"/>
  <c r="B9" i="4"/>
  <c r="G80" i="4" l="1"/>
  <c r="G34" i="4"/>
  <c r="G37" i="4" s="1"/>
  <c r="D45" i="4"/>
  <c r="C9" i="4" l="1"/>
  <c r="E56" i="4"/>
  <c r="E10" i="4"/>
  <c r="F55" i="4"/>
  <c r="C55" i="4"/>
  <c r="F9" i="4"/>
  <c r="G83" i="4"/>
  <c r="D85" i="4" s="1"/>
  <c r="D39" i="4"/>
  <c r="F83" i="4"/>
  <c r="G62" i="4"/>
  <c r="F62" i="4"/>
  <c r="G16" i="4"/>
  <c r="F16" i="4"/>
  <c r="D91" i="4"/>
  <c r="AM49" i="7"/>
  <c r="AM35" i="7"/>
  <c r="AM47" i="7"/>
  <c r="AM40" i="7"/>
  <c r="AM29" i="7"/>
  <c r="AM61" i="7"/>
  <c r="AM8" i="7"/>
  <c r="AM12" i="7"/>
  <c r="AM41" i="7"/>
  <c r="AM60" i="7"/>
  <c r="AM39" i="7"/>
  <c r="AM59" i="7"/>
  <c r="AM27" i="7"/>
  <c r="AM23" i="7"/>
  <c r="AM11" i="7"/>
  <c r="AM51" i="7"/>
  <c r="AM14" i="7"/>
  <c r="AM19" i="7"/>
  <c r="AM32" i="7"/>
  <c r="AM57" i="7"/>
  <c r="AM15" i="7"/>
  <c r="AM18" i="7"/>
  <c r="AM21" i="7"/>
  <c r="AM43" i="7"/>
  <c r="AM55" i="7"/>
  <c r="AM13" i="7"/>
  <c r="AM9" i="7"/>
  <c r="AM6" i="7"/>
  <c r="AM7" i="7"/>
  <c r="AM26" i="7"/>
  <c r="AM5" i="7"/>
  <c r="AM45" i="7"/>
  <c r="AM4" i="7"/>
  <c r="AM33" i="7"/>
  <c r="AM52" i="7"/>
  <c r="AM22" i="7"/>
  <c r="AM36" i="7"/>
  <c r="AM28" i="7"/>
  <c r="AM24" i="7"/>
  <c r="AM53" i="7"/>
  <c r="AM42" i="7"/>
  <c r="AM48" i="7"/>
  <c r="AM46" i="7"/>
  <c r="AM58" i="7"/>
  <c r="AM38" i="7"/>
  <c r="AM44" i="7"/>
  <c r="AM17" i="7"/>
  <c r="AM31" i="7"/>
  <c r="AM16" i="7"/>
  <c r="AM54" i="7"/>
  <c r="AM50" i="7"/>
  <c r="AM56" i="7"/>
  <c r="AM10" i="7"/>
  <c r="AM62" i="7"/>
  <c r="AM20" i="7"/>
  <c r="AM25" i="7"/>
  <c r="AM30" i="7"/>
  <c r="AM34" i="7"/>
  <c r="AM37" i="7"/>
  <c r="AM3" i="7"/>
  <c r="AP99" i="7" l="1"/>
  <c r="AP67" i="7"/>
  <c r="AP95" i="7"/>
  <c r="AP66" i="7"/>
  <c r="AP70" i="7"/>
  <c r="AP98" i="7"/>
  <c r="AP69" i="7"/>
  <c r="AP73" i="7"/>
  <c r="AP65" i="7"/>
  <c r="AP72" i="7"/>
  <c r="AP76" i="7"/>
  <c r="AP68" i="7"/>
  <c r="AP75" i="7"/>
  <c r="AP79" i="7"/>
  <c r="AP71" i="7"/>
  <c r="AP78" i="7"/>
  <c r="AP82" i="7"/>
  <c r="AP74" i="7"/>
  <c r="AP81" i="7"/>
  <c r="AP85" i="7"/>
  <c r="AP77" i="7"/>
  <c r="AP84" i="7"/>
  <c r="AP88" i="7"/>
  <c r="AP80" i="7"/>
  <c r="AP87" i="7"/>
  <c r="AP91" i="7"/>
  <c r="AP83" i="7"/>
  <c r="AP90" i="7"/>
  <c r="AP94" i="7"/>
  <c r="AP86" i="7"/>
  <c r="AP101" i="7"/>
  <c r="AP93" i="7"/>
  <c r="AP97" i="7"/>
  <c r="AP89" i="7"/>
  <c r="AP96" i="7"/>
  <c r="AP64" i="7"/>
  <c r="AP100" i="7"/>
  <c r="AP92" i="7"/>
  <c r="AP48" i="7"/>
  <c r="AP30" i="7"/>
  <c r="AP12" i="7"/>
  <c r="AP47" i="7"/>
  <c r="AP29" i="7"/>
  <c r="AP11" i="7"/>
  <c r="AP54" i="7"/>
  <c r="AP36" i="7"/>
  <c r="AP18" i="7"/>
  <c r="AP53" i="7"/>
  <c r="AP35" i="7"/>
  <c r="AP17" i="7"/>
  <c r="AP8" i="7"/>
  <c r="AP5" i="7"/>
  <c r="AP60" i="7"/>
  <c r="AP42" i="7"/>
  <c r="AP24" i="7"/>
  <c r="AP6" i="7"/>
  <c r="AP59" i="7"/>
  <c r="AP41" i="7"/>
  <c r="AP23" i="7"/>
  <c r="AP16" i="7"/>
  <c r="AP3" i="7"/>
  <c r="AP49" i="7"/>
  <c r="AP10" i="7"/>
  <c r="AP62" i="7"/>
  <c r="AP43" i="7"/>
  <c r="AP4" i="7"/>
  <c r="AP56" i="7"/>
  <c r="AP37" i="7"/>
  <c r="AP57" i="7"/>
  <c r="AP50" i="7"/>
  <c r="AP31" i="7"/>
  <c r="AP51" i="7"/>
  <c r="AP44" i="7"/>
  <c r="AP25" i="7"/>
  <c r="AP58" i="7"/>
  <c r="AP45" i="7"/>
  <c r="AP38" i="7"/>
  <c r="AP19" i="7"/>
  <c r="AP52" i="7"/>
  <c r="AP39" i="7"/>
  <c r="AP32" i="7"/>
  <c r="AP13" i="7"/>
  <c r="AP46" i="7"/>
  <c r="AP33" i="7"/>
  <c r="AP26" i="7"/>
  <c r="AP7" i="7"/>
  <c r="AP40" i="7"/>
  <c r="AP27" i="7"/>
  <c r="AP20" i="7"/>
  <c r="AP63" i="7"/>
  <c r="AP34" i="7"/>
  <c r="AP21" i="7"/>
  <c r="AP14" i="7"/>
  <c r="AP28" i="7"/>
  <c r="AP15" i="7"/>
  <c r="AP61" i="7"/>
  <c r="AP22" i="7"/>
  <c r="AP9" i="7"/>
  <c r="AP55" i="7"/>
  <c r="L4" i="8" l="1" a="1"/>
  <c r="L4" i="8" s="1"/>
  <c r="F4" i="8" a="1"/>
  <c r="F4" i="8" s="1"/>
  <c r="T52" i="8" a="1"/>
  <c r="T52" i="8" s="1"/>
  <c r="N52" i="8" a="1"/>
  <c r="N52" i="8" s="1"/>
  <c r="H52" i="8" a="1"/>
  <c r="H52" i="8" s="1"/>
  <c r="B52" i="8" a="1"/>
  <c r="B52" i="8" s="1"/>
  <c r="A52" i="8" s="1"/>
  <c r="W52" i="8" s="1"/>
  <c r="S52" i="8" a="1"/>
  <c r="S52" i="8" s="1"/>
  <c r="M52" i="8" a="1"/>
  <c r="M52" i="8" s="1"/>
  <c r="G52" i="8" a="1"/>
  <c r="G52" i="8" s="1"/>
  <c r="R52" i="8" a="1"/>
  <c r="R52" i="8" s="1"/>
  <c r="L52" i="8" a="1"/>
  <c r="L52" i="8" s="1"/>
  <c r="F52" i="8" a="1"/>
  <c r="F52" i="8" s="1"/>
  <c r="Q52" i="8" a="1"/>
  <c r="Q52" i="8" s="1"/>
  <c r="K52" i="8" a="1"/>
  <c r="K52" i="8" s="1"/>
  <c r="E52" i="8" a="1"/>
  <c r="E52" i="8" s="1"/>
  <c r="V52" i="8" a="1"/>
  <c r="V52" i="8" s="1"/>
  <c r="P52" i="8" a="1"/>
  <c r="P52" i="8" s="1"/>
  <c r="U52" i="8" a="1"/>
  <c r="U52" i="8" s="1"/>
  <c r="O52" i="8" a="1"/>
  <c r="O52" i="8" s="1"/>
  <c r="I52" i="8" a="1"/>
  <c r="I52" i="8" s="1"/>
  <c r="D52" i="8" a="1"/>
  <c r="D52" i="8" s="1"/>
  <c r="C52" i="8" a="1"/>
  <c r="C52" i="8" s="1"/>
  <c r="J52" i="8" a="1"/>
  <c r="J52" i="8" s="1"/>
  <c r="T32" i="8" a="1"/>
  <c r="T32" i="8" s="1"/>
  <c r="N32" i="8" a="1"/>
  <c r="N32" i="8" s="1"/>
  <c r="H32" i="8" a="1"/>
  <c r="H32" i="8" s="1"/>
  <c r="B32" i="8" a="1"/>
  <c r="B32" i="8" s="1"/>
  <c r="S32" i="8" a="1"/>
  <c r="S32" i="8" s="1"/>
  <c r="M32" i="8" a="1"/>
  <c r="M32" i="8" s="1"/>
  <c r="G32" i="8" a="1"/>
  <c r="G32" i="8" s="1"/>
  <c r="R32" i="8" a="1"/>
  <c r="R32" i="8" s="1"/>
  <c r="L32" i="8" a="1"/>
  <c r="L32" i="8" s="1"/>
  <c r="F32" i="8" a="1"/>
  <c r="F32" i="8" s="1"/>
  <c r="Q32" i="8" a="1"/>
  <c r="Q32" i="8" s="1"/>
  <c r="K32" i="8" a="1"/>
  <c r="K32" i="8" s="1"/>
  <c r="E32" i="8" a="1"/>
  <c r="E32" i="8" s="1"/>
  <c r="V32" i="8" a="1"/>
  <c r="V32" i="8" s="1"/>
  <c r="P32" i="8" a="1"/>
  <c r="P32" i="8" s="1"/>
  <c r="J32" i="8" a="1"/>
  <c r="J32" i="8" s="1"/>
  <c r="D32" i="8" a="1"/>
  <c r="D32" i="8" s="1"/>
  <c r="U32" i="8" a="1"/>
  <c r="U32" i="8" s="1"/>
  <c r="O32" i="8" a="1"/>
  <c r="O32" i="8" s="1"/>
  <c r="I32" i="8" a="1"/>
  <c r="I32" i="8" s="1"/>
  <c r="C32" i="8" a="1"/>
  <c r="C32" i="8" s="1"/>
  <c r="Q24" i="8" a="1"/>
  <c r="Q24" i="8" s="1"/>
  <c r="K24" i="8" a="1"/>
  <c r="K24" i="8" s="1"/>
  <c r="E24" i="8" a="1"/>
  <c r="E24" i="8" s="1"/>
  <c r="V24" i="8" a="1"/>
  <c r="V24" i="8" s="1"/>
  <c r="P24" i="8" a="1"/>
  <c r="P24" i="8" s="1"/>
  <c r="J24" i="8" a="1"/>
  <c r="J24" i="8" s="1"/>
  <c r="D24" i="8" a="1"/>
  <c r="D24" i="8" s="1"/>
  <c r="U24" i="8" a="1"/>
  <c r="U24" i="8" s="1"/>
  <c r="O24" i="8" a="1"/>
  <c r="O24" i="8" s="1"/>
  <c r="I24" i="8" a="1"/>
  <c r="I24" i="8" s="1"/>
  <c r="C24" i="8" a="1"/>
  <c r="C24" i="8" s="1"/>
  <c r="T24" i="8" a="1"/>
  <c r="T24" i="8" s="1"/>
  <c r="N24" i="8" a="1"/>
  <c r="N24" i="8" s="1"/>
  <c r="H24" i="8" a="1"/>
  <c r="H24" i="8" s="1"/>
  <c r="B24" i="8" a="1"/>
  <c r="B24" i="8" s="1"/>
  <c r="S24" i="8" a="1"/>
  <c r="S24" i="8" s="1"/>
  <c r="M24" i="8" a="1"/>
  <c r="M24" i="8" s="1"/>
  <c r="G24" i="8" a="1"/>
  <c r="G24" i="8" s="1"/>
  <c r="R24" i="8" a="1"/>
  <c r="R24" i="8" s="1"/>
  <c r="L24" i="8" a="1"/>
  <c r="L24" i="8" s="1"/>
  <c r="F24" i="8" a="1"/>
  <c r="F24" i="8" s="1"/>
  <c r="S19" i="8" a="1"/>
  <c r="S19" i="8" s="1"/>
  <c r="M19" i="8" a="1"/>
  <c r="M19" i="8" s="1"/>
  <c r="G19" i="8" a="1"/>
  <c r="G19" i="8" s="1"/>
  <c r="R19" i="8" a="1"/>
  <c r="R19" i="8" s="1"/>
  <c r="L19" i="8" a="1"/>
  <c r="L19" i="8" s="1"/>
  <c r="F19" i="8" a="1"/>
  <c r="F19" i="8" s="1"/>
  <c r="Q19" i="8" a="1"/>
  <c r="Q19" i="8" s="1"/>
  <c r="K19" i="8" a="1"/>
  <c r="K19" i="8" s="1"/>
  <c r="E19" i="8" a="1"/>
  <c r="E19" i="8" s="1"/>
  <c r="V19" i="8" a="1"/>
  <c r="V19" i="8" s="1"/>
  <c r="P19" i="8" a="1"/>
  <c r="P19" i="8" s="1"/>
  <c r="J19" i="8" a="1"/>
  <c r="J19" i="8" s="1"/>
  <c r="D19" i="8" a="1"/>
  <c r="D19" i="8" s="1"/>
  <c r="U19" i="8" a="1"/>
  <c r="U19" i="8" s="1"/>
  <c r="O19" i="8" a="1"/>
  <c r="O19" i="8" s="1"/>
  <c r="I19" i="8" a="1"/>
  <c r="I19" i="8" s="1"/>
  <c r="C19" i="8" a="1"/>
  <c r="C19" i="8" s="1"/>
  <c r="T19" i="8" a="1"/>
  <c r="T19" i="8" s="1"/>
  <c r="N19" i="8" a="1"/>
  <c r="N19" i="8" s="1"/>
  <c r="H19" i="8" a="1"/>
  <c r="H19" i="8" s="1"/>
  <c r="B19" i="8" a="1"/>
  <c r="B19" i="8" s="1"/>
  <c r="R96" i="8" a="1"/>
  <c r="R96" i="8" s="1"/>
  <c r="L96" i="8" a="1"/>
  <c r="L96" i="8" s="1"/>
  <c r="F96" i="8" a="1"/>
  <c r="F96" i="8" s="1"/>
  <c r="Q96" i="8" a="1"/>
  <c r="Q96" i="8" s="1"/>
  <c r="K96" i="8" a="1"/>
  <c r="K96" i="8" s="1"/>
  <c r="E96" i="8" a="1"/>
  <c r="E96" i="8" s="1"/>
  <c r="V96" i="8" a="1"/>
  <c r="V96" i="8" s="1"/>
  <c r="P96" i="8" a="1"/>
  <c r="P96" i="8" s="1"/>
  <c r="J96" i="8" a="1"/>
  <c r="J96" i="8" s="1"/>
  <c r="D96" i="8" a="1"/>
  <c r="D96" i="8" s="1"/>
  <c r="U96" i="8" a="1"/>
  <c r="U96" i="8" s="1"/>
  <c r="O96" i="8" a="1"/>
  <c r="O96" i="8" s="1"/>
  <c r="I96" i="8" a="1"/>
  <c r="I96" i="8" s="1"/>
  <c r="C96" i="8" a="1"/>
  <c r="C96" i="8" s="1"/>
  <c r="T96" i="8" a="1"/>
  <c r="T96" i="8" s="1"/>
  <c r="N96" i="8" a="1"/>
  <c r="N96" i="8" s="1"/>
  <c r="H96" i="8" a="1"/>
  <c r="H96" i="8" s="1"/>
  <c r="B96" i="8" a="1"/>
  <c r="B96" i="8" s="1"/>
  <c r="A96" i="8" s="1"/>
  <c r="W96" i="8" s="1"/>
  <c r="S96" i="8" a="1"/>
  <c r="S96" i="8" s="1"/>
  <c r="M96" i="8" a="1"/>
  <c r="M96" i="8" s="1"/>
  <c r="G96" i="8" a="1"/>
  <c r="G96" i="8" s="1"/>
  <c r="T88" i="8" a="1"/>
  <c r="T88" i="8" s="1"/>
  <c r="N88" i="8" a="1"/>
  <c r="N88" i="8" s="1"/>
  <c r="H88" i="8" a="1"/>
  <c r="H88" i="8" s="1"/>
  <c r="B88" i="8" a="1"/>
  <c r="B88" i="8" s="1"/>
  <c r="A88" i="8" s="1"/>
  <c r="W88" i="8" s="1"/>
  <c r="S88" i="8" a="1"/>
  <c r="S88" i="8" s="1"/>
  <c r="M88" i="8" a="1"/>
  <c r="M88" i="8" s="1"/>
  <c r="G88" i="8" a="1"/>
  <c r="G88" i="8" s="1"/>
  <c r="R88" i="8" a="1"/>
  <c r="R88" i="8" s="1"/>
  <c r="L88" i="8" a="1"/>
  <c r="L88" i="8" s="1"/>
  <c r="F88" i="8" a="1"/>
  <c r="F88" i="8" s="1"/>
  <c r="Q88" i="8" a="1"/>
  <c r="Q88" i="8" s="1"/>
  <c r="K88" i="8" a="1"/>
  <c r="K88" i="8" s="1"/>
  <c r="E88" i="8" a="1"/>
  <c r="E88" i="8" s="1"/>
  <c r="V88" i="8" a="1"/>
  <c r="V88" i="8" s="1"/>
  <c r="P88" i="8" a="1"/>
  <c r="P88" i="8" s="1"/>
  <c r="J88" i="8" a="1"/>
  <c r="J88" i="8" s="1"/>
  <c r="D88" i="8" a="1"/>
  <c r="D88" i="8" s="1"/>
  <c r="O88" i="8" a="1"/>
  <c r="O88" i="8" s="1"/>
  <c r="I88" i="8" a="1"/>
  <c r="I88" i="8" s="1"/>
  <c r="C88" i="8" a="1"/>
  <c r="C88" i="8" s="1"/>
  <c r="U88" i="8" a="1"/>
  <c r="U88" i="8" s="1"/>
  <c r="R76" i="8" a="1"/>
  <c r="R76" i="8" s="1"/>
  <c r="L76" i="8" a="1"/>
  <c r="L76" i="8" s="1"/>
  <c r="F76" i="8" a="1"/>
  <c r="F76" i="8" s="1"/>
  <c r="Q76" i="8" a="1"/>
  <c r="Q76" i="8" s="1"/>
  <c r="K76" i="8" a="1"/>
  <c r="K76" i="8" s="1"/>
  <c r="E76" i="8" a="1"/>
  <c r="E76" i="8" s="1"/>
  <c r="V76" i="8" a="1"/>
  <c r="V76" i="8" s="1"/>
  <c r="P76" i="8" a="1"/>
  <c r="P76" i="8" s="1"/>
  <c r="J76" i="8" a="1"/>
  <c r="J76" i="8" s="1"/>
  <c r="D76" i="8" a="1"/>
  <c r="D76" i="8" s="1"/>
  <c r="U76" i="8" a="1"/>
  <c r="U76" i="8" s="1"/>
  <c r="O76" i="8" a="1"/>
  <c r="O76" i="8" s="1"/>
  <c r="I76" i="8" a="1"/>
  <c r="I76" i="8" s="1"/>
  <c r="C76" i="8" a="1"/>
  <c r="C76" i="8" s="1"/>
  <c r="T76" i="8" a="1"/>
  <c r="T76" i="8" s="1"/>
  <c r="N76" i="8" a="1"/>
  <c r="N76" i="8" s="1"/>
  <c r="H76" i="8" a="1"/>
  <c r="H76" i="8" s="1"/>
  <c r="B76" i="8" a="1"/>
  <c r="B76" i="8" s="1"/>
  <c r="A76" i="8" s="1"/>
  <c r="W76" i="8" s="1"/>
  <c r="S76" i="8" a="1"/>
  <c r="S76" i="8" s="1"/>
  <c r="M76" i="8" a="1"/>
  <c r="M76" i="8" s="1"/>
  <c r="G76" i="8" a="1"/>
  <c r="G76" i="8" s="1"/>
  <c r="U80" i="8" a="1"/>
  <c r="U80" i="8" s="1"/>
  <c r="O80" i="8" a="1"/>
  <c r="O80" i="8" s="1"/>
  <c r="I80" i="8" a="1"/>
  <c r="I80" i="8" s="1"/>
  <c r="C80" i="8" a="1"/>
  <c r="C80" i="8" s="1"/>
  <c r="H80" i="8" a="1"/>
  <c r="H80" i="8" s="1"/>
  <c r="V80" i="8" a="1"/>
  <c r="V80" i="8" s="1"/>
  <c r="G80" i="8" a="1"/>
  <c r="G80" i="8" s="1"/>
  <c r="T80" i="8" a="1"/>
  <c r="T80" i="8" s="1"/>
  <c r="F80" i="8" a="1"/>
  <c r="F80" i="8" s="1"/>
  <c r="S80" i="8" a="1"/>
  <c r="S80" i="8" s="1"/>
  <c r="E80" i="8" a="1"/>
  <c r="E80" i="8" s="1"/>
  <c r="R80" i="8" a="1"/>
  <c r="R80" i="8" s="1"/>
  <c r="D80" i="8" a="1"/>
  <c r="D80" i="8" s="1"/>
  <c r="Q80" i="8" a="1"/>
  <c r="Q80" i="8" s="1"/>
  <c r="B80" i="8" a="1"/>
  <c r="B80" i="8" s="1"/>
  <c r="A80" i="8" s="1"/>
  <c r="W80" i="8" s="1"/>
  <c r="P80" i="8" a="1"/>
  <c r="P80" i="8" s="1"/>
  <c r="N80" i="8" a="1"/>
  <c r="N80" i="8" s="1"/>
  <c r="M80" i="8" a="1"/>
  <c r="M80" i="8" s="1"/>
  <c r="L80" i="8" a="1"/>
  <c r="L80" i="8" s="1"/>
  <c r="K80" i="8" a="1"/>
  <c r="K80" i="8" s="1"/>
  <c r="J80" i="8" a="1"/>
  <c r="J80" i="8" s="1"/>
  <c r="U14" i="8" a="1"/>
  <c r="U14" i="8" s="1"/>
  <c r="O14" i="8" a="1"/>
  <c r="O14" i="8" s="1"/>
  <c r="I14" i="8" a="1"/>
  <c r="I14" i="8" s="1"/>
  <c r="C14" i="8" a="1"/>
  <c r="C14" i="8" s="1"/>
  <c r="T14" i="8" a="1"/>
  <c r="T14" i="8" s="1"/>
  <c r="N14" i="8" a="1"/>
  <c r="N14" i="8" s="1"/>
  <c r="H14" i="8" a="1"/>
  <c r="H14" i="8" s="1"/>
  <c r="B14" i="8" a="1"/>
  <c r="B14" i="8" s="1"/>
  <c r="S14" i="8" a="1"/>
  <c r="S14" i="8" s="1"/>
  <c r="M14" i="8" a="1"/>
  <c r="M14" i="8" s="1"/>
  <c r="G14" i="8" a="1"/>
  <c r="G14" i="8" s="1"/>
  <c r="Q14" i="8" a="1"/>
  <c r="Q14" i="8" s="1"/>
  <c r="K14" i="8" a="1"/>
  <c r="K14" i="8" s="1"/>
  <c r="E14" i="8" a="1"/>
  <c r="E14" i="8" s="1"/>
  <c r="L14" i="8" a="1"/>
  <c r="L14" i="8" s="1"/>
  <c r="P14" i="8" a="1"/>
  <c r="P14" i="8" s="1"/>
  <c r="J14" i="8" a="1"/>
  <c r="J14" i="8" s="1"/>
  <c r="F14" i="8" a="1"/>
  <c r="F14" i="8" s="1"/>
  <c r="V14" i="8" a="1"/>
  <c r="V14" i="8" s="1"/>
  <c r="D14" i="8" a="1"/>
  <c r="D14" i="8" s="1"/>
  <c r="R14" i="8" a="1"/>
  <c r="R14" i="8" s="1"/>
  <c r="R51" i="8" a="1"/>
  <c r="R51" i="8" s="1"/>
  <c r="L51" i="8" a="1"/>
  <c r="L51" i="8" s="1"/>
  <c r="F51" i="8" a="1"/>
  <c r="F51" i="8" s="1"/>
  <c r="Q51" i="8" a="1"/>
  <c r="Q51" i="8" s="1"/>
  <c r="K51" i="8" a="1"/>
  <c r="K51" i="8" s="1"/>
  <c r="E51" i="8" a="1"/>
  <c r="E51" i="8" s="1"/>
  <c r="V51" i="8" a="1"/>
  <c r="V51" i="8" s="1"/>
  <c r="P51" i="8" a="1"/>
  <c r="P51" i="8" s="1"/>
  <c r="J51" i="8" a="1"/>
  <c r="J51" i="8" s="1"/>
  <c r="D51" i="8" a="1"/>
  <c r="D51" i="8" s="1"/>
  <c r="U51" i="8" a="1"/>
  <c r="U51" i="8" s="1"/>
  <c r="O51" i="8" a="1"/>
  <c r="O51" i="8" s="1"/>
  <c r="I51" i="8" a="1"/>
  <c r="I51" i="8" s="1"/>
  <c r="C51" i="8" a="1"/>
  <c r="C51" i="8" s="1"/>
  <c r="G51" i="8" a="1"/>
  <c r="G51" i="8" s="1"/>
  <c r="B51" i="8" a="1"/>
  <c r="B51" i="8" s="1"/>
  <c r="A51" i="8" s="1"/>
  <c r="W51" i="8" s="1"/>
  <c r="T51" i="8" a="1"/>
  <c r="T51" i="8" s="1"/>
  <c r="S51" i="8" a="1"/>
  <c r="S51" i="8" s="1"/>
  <c r="N51" i="8" a="1"/>
  <c r="N51" i="8" s="1"/>
  <c r="H51" i="8" a="1"/>
  <c r="H51" i="8" s="1"/>
  <c r="M51" i="8" a="1"/>
  <c r="M51" i="8" s="1"/>
  <c r="P42" i="8" a="1"/>
  <c r="P42" i="8" s="1"/>
  <c r="H42" i="8" a="1"/>
  <c r="H42" i="8" s="1"/>
  <c r="O42" i="8" a="1"/>
  <c r="O42" i="8" s="1"/>
  <c r="G42" i="8" a="1"/>
  <c r="G42" i="8" s="1"/>
  <c r="V42" i="8" a="1"/>
  <c r="V42" i="8" s="1"/>
  <c r="N42" i="8" a="1"/>
  <c r="N42" i="8" s="1"/>
  <c r="F42" i="8" a="1"/>
  <c r="F42" i="8" s="1"/>
  <c r="U42" i="8" a="1"/>
  <c r="U42" i="8" s="1"/>
  <c r="M42" i="8" a="1"/>
  <c r="M42" i="8" s="1"/>
  <c r="E42" i="8" a="1"/>
  <c r="E42" i="8" s="1"/>
  <c r="T42" i="8" a="1"/>
  <c r="T42" i="8" s="1"/>
  <c r="L42" i="8" a="1"/>
  <c r="L42" i="8" s="1"/>
  <c r="D42" i="8" a="1"/>
  <c r="D42" i="8" s="1"/>
  <c r="C42" i="8" a="1"/>
  <c r="C42" i="8" s="1"/>
  <c r="S42" i="8" a="1"/>
  <c r="S42" i="8" s="1"/>
  <c r="K42" i="8" a="1"/>
  <c r="K42" i="8" s="1"/>
  <c r="I42" i="8" a="1"/>
  <c r="I42" i="8" s="1"/>
  <c r="R42" i="8" a="1"/>
  <c r="R42" i="8" s="1"/>
  <c r="Q42" i="8" a="1"/>
  <c r="Q42" i="8" s="1"/>
  <c r="J42" i="8" a="1"/>
  <c r="J42" i="8" s="1"/>
  <c r="B42" i="8" a="1"/>
  <c r="B42" i="8" s="1"/>
  <c r="A42" i="8" s="1"/>
  <c r="W42" i="8" s="1"/>
  <c r="R37" i="8" a="1"/>
  <c r="R37" i="8" s="1"/>
  <c r="L37" i="8" a="1"/>
  <c r="L37" i="8" s="1"/>
  <c r="F37" i="8" a="1"/>
  <c r="F37" i="8" s="1"/>
  <c r="Q37" i="8" a="1"/>
  <c r="Q37" i="8" s="1"/>
  <c r="K37" i="8" a="1"/>
  <c r="K37" i="8" s="1"/>
  <c r="E37" i="8" a="1"/>
  <c r="E37" i="8" s="1"/>
  <c r="V37" i="8" a="1"/>
  <c r="V37" i="8" s="1"/>
  <c r="P37" i="8" a="1"/>
  <c r="P37" i="8" s="1"/>
  <c r="J37" i="8" a="1"/>
  <c r="J37" i="8" s="1"/>
  <c r="D37" i="8" a="1"/>
  <c r="D37" i="8" s="1"/>
  <c r="U37" i="8" a="1"/>
  <c r="U37" i="8" s="1"/>
  <c r="O37" i="8" a="1"/>
  <c r="O37" i="8" s="1"/>
  <c r="I37" i="8" a="1"/>
  <c r="I37" i="8" s="1"/>
  <c r="C37" i="8" a="1"/>
  <c r="C37" i="8" s="1"/>
  <c r="T37" i="8" a="1"/>
  <c r="T37" i="8" s="1"/>
  <c r="N37" i="8" a="1"/>
  <c r="N37" i="8" s="1"/>
  <c r="H37" i="8" a="1"/>
  <c r="H37" i="8" s="1"/>
  <c r="B37" i="8" a="1"/>
  <c r="B37" i="8" s="1"/>
  <c r="A37" i="8" s="1"/>
  <c r="W37" i="8" s="1"/>
  <c r="S37" i="8" a="1"/>
  <c r="S37" i="8" s="1"/>
  <c r="M37" i="8" a="1"/>
  <c r="M37" i="8" s="1"/>
  <c r="G37" i="8" a="1"/>
  <c r="G37" i="8" s="1"/>
  <c r="V89" i="8" a="1"/>
  <c r="V89" i="8" s="1"/>
  <c r="P89" i="8" a="1"/>
  <c r="P89" i="8" s="1"/>
  <c r="J89" i="8" a="1"/>
  <c r="J89" i="8" s="1"/>
  <c r="D89" i="8" a="1"/>
  <c r="D89" i="8" s="1"/>
  <c r="U89" i="8" a="1"/>
  <c r="U89" i="8" s="1"/>
  <c r="O89" i="8" a="1"/>
  <c r="O89" i="8" s="1"/>
  <c r="I89" i="8" a="1"/>
  <c r="I89" i="8" s="1"/>
  <c r="C89" i="8" a="1"/>
  <c r="C89" i="8" s="1"/>
  <c r="T89" i="8" a="1"/>
  <c r="T89" i="8" s="1"/>
  <c r="N89" i="8" a="1"/>
  <c r="N89" i="8" s="1"/>
  <c r="H89" i="8" a="1"/>
  <c r="H89" i="8" s="1"/>
  <c r="B89" i="8" a="1"/>
  <c r="B89" i="8" s="1"/>
  <c r="A89" i="8" s="1"/>
  <c r="W89" i="8" s="1"/>
  <c r="S89" i="8" a="1"/>
  <c r="S89" i="8" s="1"/>
  <c r="M89" i="8" a="1"/>
  <c r="M89" i="8" s="1"/>
  <c r="G89" i="8" a="1"/>
  <c r="G89" i="8" s="1"/>
  <c r="R89" i="8" a="1"/>
  <c r="R89" i="8" s="1"/>
  <c r="L89" i="8" a="1"/>
  <c r="L89" i="8" s="1"/>
  <c r="F89" i="8" a="1"/>
  <c r="F89" i="8" s="1"/>
  <c r="Q89" i="8" a="1"/>
  <c r="Q89" i="8" s="1"/>
  <c r="K89" i="8" a="1"/>
  <c r="K89" i="8" s="1"/>
  <c r="E89" i="8" a="1"/>
  <c r="E89" i="8" s="1"/>
  <c r="R84" i="8" a="1"/>
  <c r="R84" i="8" s="1"/>
  <c r="L84" i="8" a="1"/>
  <c r="L84" i="8" s="1"/>
  <c r="F84" i="8" a="1"/>
  <c r="F84" i="8" s="1"/>
  <c r="Q84" i="8" a="1"/>
  <c r="Q84" i="8" s="1"/>
  <c r="K84" i="8" a="1"/>
  <c r="K84" i="8" s="1"/>
  <c r="E84" i="8" a="1"/>
  <c r="E84" i="8" s="1"/>
  <c r="U84" i="8" a="1"/>
  <c r="U84" i="8" s="1"/>
  <c r="O84" i="8" a="1"/>
  <c r="O84" i="8" s="1"/>
  <c r="I84" i="8" a="1"/>
  <c r="I84" i="8" s="1"/>
  <c r="C84" i="8" a="1"/>
  <c r="C84" i="8" s="1"/>
  <c r="T84" i="8" a="1"/>
  <c r="T84" i="8" s="1"/>
  <c r="N84" i="8" a="1"/>
  <c r="N84" i="8" s="1"/>
  <c r="H84" i="8" a="1"/>
  <c r="H84" i="8" s="1"/>
  <c r="B84" i="8" a="1"/>
  <c r="B84" i="8" s="1"/>
  <c r="A84" i="8" s="1"/>
  <c r="W84" i="8" s="1"/>
  <c r="P84" i="8" a="1"/>
  <c r="P84" i="8" s="1"/>
  <c r="M84" i="8" a="1"/>
  <c r="M84" i="8" s="1"/>
  <c r="J84" i="8" a="1"/>
  <c r="J84" i="8" s="1"/>
  <c r="G84" i="8" a="1"/>
  <c r="G84" i="8" s="1"/>
  <c r="D84" i="8" a="1"/>
  <c r="D84" i="8" s="1"/>
  <c r="V84" i="8" a="1"/>
  <c r="V84" i="8" s="1"/>
  <c r="S84" i="8" a="1"/>
  <c r="S84" i="8" s="1"/>
  <c r="V72" i="8" a="1"/>
  <c r="V72" i="8" s="1"/>
  <c r="P72" i="8" a="1"/>
  <c r="P72" i="8" s="1"/>
  <c r="J72" i="8" a="1"/>
  <c r="J72" i="8" s="1"/>
  <c r="D72" i="8" a="1"/>
  <c r="D72" i="8" s="1"/>
  <c r="U72" i="8" a="1"/>
  <c r="U72" i="8" s="1"/>
  <c r="O72" i="8" a="1"/>
  <c r="O72" i="8" s="1"/>
  <c r="I72" i="8" a="1"/>
  <c r="I72" i="8" s="1"/>
  <c r="C72" i="8" a="1"/>
  <c r="C72" i="8" s="1"/>
  <c r="T72" i="8" a="1"/>
  <c r="T72" i="8" s="1"/>
  <c r="N72" i="8" a="1"/>
  <c r="N72" i="8" s="1"/>
  <c r="H72" i="8" a="1"/>
  <c r="H72" i="8" s="1"/>
  <c r="B72" i="8" a="1"/>
  <c r="B72" i="8" s="1"/>
  <c r="A72" i="8" s="1"/>
  <c r="W72" i="8" s="1"/>
  <c r="S72" i="8" a="1"/>
  <c r="S72" i="8" s="1"/>
  <c r="M72" i="8" a="1"/>
  <c r="M72" i="8" s="1"/>
  <c r="G72" i="8" a="1"/>
  <c r="G72" i="8" s="1"/>
  <c r="R72" i="8" a="1"/>
  <c r="R72" i="8" s="1"/>
  <c r="L72" i="8" a="1"/>
  <c r="L72" i="8" s="1"/>
  <c r="F72" i="8" a="1"/>
  <c r="F72" i="8" s="1"/>
  <c r="E72" i="8" a="1"/>
  <c r="E72" i="8" s="1"/>
  <c r="K72" i="8" a="1"/>
  <c r="K72" i="8" s="1"/>
  <c r="Q72" i="8" a="1"/>
  <c r="Q72" i="8" s="1"/>
  <c r="Q15" i="8" a="1"/>
  <c r="Q15" i="8" s="1"/>
  <c r="K15" i="8" a="1"/>
  <c r="K15" i="8" s="1"/>
  <c r="E15" i="8" a="1"/>
  <c r="E15" i="8" s="1"/>
  <c r="V15" i="8" a="1"/>
  <c r="V15" i="8" s="1"/>
  <c r="P15" i="8" a="1"/>
  <c r="P15" i="8" s="1"/>
  <c r="J15" i="8" a="1"/>
  <c r="J15" i="8" s="1"/>
  <c r="D15" i="8" a="1"/>
  <c r="D15" i="8" s="1"/>
  <c r="U15" i="8" a="1"/>
  <c r="U15" i="8" s="1"/>
  <c r="O15" i="8" a="1"/>
  <c r="O15" i="8" s="1"/>
  <c r="I15" i="8" a="1"/>
  <c r="I15" i="8" s="1"/>
  <c r="C15" i="8" a="1"/>
  <c r="C15" i="8" s="1"/>
  <c r="T15" i="8" a="1"/>
  <c r="T15" i="8" s="1"/>
  <c r="S15" i="8" a="1"/>
  <c r="S15" i="8" s="1"/>
  <c r="M15" i="8" a="1"/>
  <c r="M15" i="8" s="1"/>
  <c r="G15" i="8" a="1"/>
  <c r="G15" i="8" s="1"/>
  <c r="H15" i="8" a="1"/>
  <c r="H15" i="8" s="1"/>
  <c r="L15" i="8" a="1"/>
  <c r="L15" i="8" s="1"/>
  <c r="F15" i="8" a="1"/>
  <c r="F15" i="8" s="1"/>
  <c r="B15" i="8" a="1"/>
  <c r="B15" i="8" s="1"/>
  <c r="R15" i="8" a="1"/>
  <c r="R15" i="8" s="1"/>
  <c r="N15" i="8" a="1"/>
  <c r="N15" i="8" s="1"/>
  <c r="V33" i="8" a="1"/>
  <c r="V33" i="8" s="1"/>
  <c r="P33" i="8" a="1"/>
  <c r="P33" i="8" s="1"/>
  <c r="J33" i="8" a="1"/>
  <c r="J33" i="8" s="1"/>
  <c r="D33" i="8" a="1"/>
  <c r="D33" i="8" s="1"/>
  <c r="U33" i="8" a="1"/>
  <c r="U33" i="8" s="1"/>
  <c r="O33" i="8" a="1"/>
  <c r="O33" i="8" s="1"/>
  <c r="I33" i="8" a="1"/>
  <c r="I33" i="8" s="1"/>
  <c r="C33" i="8" a="1"/>
  <c r="C33" i="8" s="1"/>
  <c r="T33" i="8" a="1"/>
  <c r="T33" i="8" s="1"/>
  <c r="N33" i="8" a="1"/>
  <c r="N33" i="8" s="1"/>
  <c r="H33" i="8" a="1"/>
  <c r="H33" i="8" s="1"/>
  <c r="B33" i="8" a="1"/>
  <c r="B33" i="8" s="1"/>
  <c r="S33" i="8" a="1"/>
  <c r="S33" i="8" s="1"/>
  <c r="M33" i="8" a="1"/>
  <c r="M33" i="8" s="1"/>
  <c r="G33" i="8" a="1"/>
  <c r="G33" i="8" s="1"/>
  <c r="R33" i="8" a="1"/>
  <c r="R33" i="8" s="1"/>
  <c r="L33" i="8" a="1"/>
  <c r="L33" i="8" s="1"/>
  <c r="F33" i="8" a="1"/>
  <c r="F33" i="8" s="1"/>
  <c r="Q33" i="8" a="1"/>
  <c r="Q33" i="8" s="1"/>
  <c r="K33" i="8" a="1"/>
  <c r="K33" i="8" s="1"/>
  <c r="E33" i="8" a="1"/>
  <c r="E33" i="8" s="1"/>
  <c r="T58" i="8" a="1"/>
  <c r="T58" i="8" s="1"/>
  <c r="N58" i="8" a="1"/>
  <c r="N58" i="8" s="1"/>
  <c r="H58" i="8" a="1"/>
  <c r="H58" i="8" s="1"/>
  <c r="B58" i="8" a="1"/>
  <c r="B58" i="8" s="1"/>
  <c r="A58" i="8" s="1"/>
  <c r="W58" i="8" s="1"/>
  <c r="S58" i="8" a="1"/>
  <c r="S58" i="8" s="1"/>
  <c r="M58" i="8" a="1"/>
  <c r="M58" i="8" s="1"/>
  <c r="G58" i="8" a="1"/>
  <c r="G58" i="8" s="1"/>
  <c r="R58" i="8" a="1"/>
  <c r="R58" i="8" s="1"/>
  <c r="L58" i="8" a="1"/>
  <c r="L58" i="8" s="1"/>
  <c r="F58" i="8" a="1"/>
  <c r="F58" i="8" s="1"/>
  <c r="Q58" i="8" a="1"/>
  <c r="Q58" i="8" s="1"/>
  <c r="K58" i="8" a="1"/>
  <c r="K58" i="8" s="1"/>
  <c r="E58" i="8" a="1"/>
  <c r="E58" i="8" s="1"/>
  <c r="V58" i="8" a="1"/>
  <c r="V58" i="8" s="1"/>
  <c r="P58" i="8" a="1"/>
  <c r="P58" i="8" s="1"/>
  <c r="J58" i="8" a="1"/>
  <c r="J58" i="8" s="1"/>
  <c r="D58" i="8" a="1"/>
  <c r="D58" i="8" s="1"/>
  <c r="U58" i="8" a="1"/>
  <c r="U58" i="8" s="1"/>
  <c r="O58" i="8" a="1"/>
  <c r="O58" i="8" s="1"/>
  <c r="I58" i="8" a="1"/>
  <c r="I58" i="8" s="1"/>
  <c r="C58" i="8" a="1"/>
  <c r="C58" i="8" s="1"/>
  <c r="T60" i="8" a="1"/>
  <c r="T60" i="8" s="1"/>
  <c r="K60" i="8" a="1"/>
  <c r="K60" i="8" s="1"/>
  <c r="B60" i="8" a="1"/>
  <c r="B60" i="8" s="1"/>
  <c r="A60" i="8" s="1"/>
  <c r="W60" i="8" s="1"/>
  <c r="S60" i="8" a="1"/>
  <c r="S60" i="8" s="1"/>
  <c r="J60" i="8" a="1"/>
  <c r="J60" i="8" s="1"/>
  <c r="R60" i="8" a="1"/>
  <c r="R60" i="8" s="1"/>
  <c r="I60" i="8" a="1"/>
  <c r="I60" i="8" s="1"/>
  <c r="Q60" i="8" a="1"/>
  <c r="Q60" i="8" s="1"/>
  <c r="H60" i="8" a="1"/>
  <c r="H60" i="8" s="1"/>
  <c r="P60" i="8" a="1"/>
  <c r="P60" i="8" s="1"/>
  <c r="G60" i="8" a="1"/>
  <c r="G60" i="8" s="1"/>
  <c r="O60" i="8" a="1"/>
  <c r="O60" i="8" s="1"/>
  <c r="F60" i="8" a="1"/>
  <c r="F60" i="8" s="1"/>
  <c r="N60" i="8" a="1"/>
  <c r="N60" i="8" s="1"/>
  <c r="E60" i="8" a="1"/>
  <c r="E60" i="8" s="1"/>
  <c r="V60" i="8" a="1"/>
  <c r="V60" i="8" s="1"/>
  <c r="M60" i="8" a="1"/>
  <c r="M60" i="8" s="1"/>
  <c r="D60" i="8" a="1"/>
  <c r="D60" i="8" s="1"/>
  <c r="U60" i="8" a="1"/>
  <c r="U60" i="8" s="1"/>
  <c r="L60" i="8" a="1"/>
  <c r="L60" i="8" s="1"/>
  <c r="C60" i="8" a="1"/>
  <c r="C60" i="8" s="1"/>
  <c r="T55" i="8" a="1"/>
  <c r="T55" i="8" s="1"/>
  <c r="N55" i="8" a="1"/>
  <c r="N55" i="8" s="1"/>
  <c r="H55" i="8" a="1"/>
  <c r="H55" i="8" s="1"/>
  <c r="B55" i="8" a="1"/>
  <c r="B55" i="8" s="1"/>
  <c r="A55" i="8" s="1"/>
  <c r="W55" i="8" s="1"/>
  <c r="S55" i="8" a="1"/>
  <c r="S55" i="8" s="1"/>
  <c r="M55" i="8" a="1"/>
  <c r="M55" i="8" s="1"/>
  <c r="G55" i="8" a="1"/>
  <c r="G55" i="8" s="1"/>
  <c r="R55" i="8" a="1"/>
  <c r="R55" i="8" s="1"/>
  <c r="L55" i="8" a="1"/>
  <c r="L55" i="8" s="1"/>
  <c r="F55" i="8" a="1"/>
  <c r="F55" i="8" s="1"/>
  <c r="Q55" i="8" a="1"/>
  <c r="Q55" i="8" s="1"/>
  <c r="K55" i="8" a="1"/>
  <c r="K55" i="8" s="1"/>
  <c r="E55" i="8" a="1"/>
  <c r="E55" i="8" s="1"/>
  <c r="V55" i="8" a="1"/>
  <c r="V55" i="8" s="1"/>
  <c r="P55" i="8" a="1"/>
  <c r="P55" i="8" s="1"/>
  <c r="J55" i="8" a="1"/>
  <c r="J55" i="8" s="1"/>
  <c r="D55" i="8" a="1"/>
  <c r="D55" i="8" s="1"/>
  <c r="U55" i="8" a="1"/>
  <c r="U55" i="8" s="1"/>
  <c r="O55" i="8" a="1"/>
  <c r="O55" i="8" s="1"/>
  <c r="I55" i="8" a="1"/>
  <c r="I55" i="8" s="1"/>
  <c r="C55" i="8" a="1"/>
  <c r="C55" i="8" s="1"/>
  <c r="T97" i="8" a="1"/>
  <c r="T97" i="8" s="1"/>
  <c r="N97" i="8" a="1"/>
  <c r="N97" i="8" s="1"/>
  <c r="H97" i="8" a="1"/>
  <c r="H97" i="8" s="1"/>
  <c r="B97" i="8" a="1"/>
  <c r="B97" i="8" s="1"/>
  <c r="A97" i="8" s="1"/>
  <c r="W97" i="8" s="1"/>
  <c r="S97" i="8" a="1"/>
  <c r="S97" i="8" s="1"/>
  <c r="M97" i="8" a="1"/>
  <c r="M97" i="8" s="1"/>
  <c r="G97" i="8" a="1"/>
  <c r="G97" i="8" s="1"/>
  <c r="R97" i="8" a="1"/>
  <c r="R97" i="8" s="1"/>
  <c r="L97" i="8" a="1"/>
  <c r="L97" i="8" s="1"/>
  <c r="F97" i="8" a="1"/>
  <c r="F97" i="8" s="1"/>
  <c r="Q97" i="8" a="1"/>
  <c r="Q97" i="8" s="1"/>
  <c r="K97" i="8" a="1"/>
  <c r="K97" i="8" s="1"/>
  <c r="E97" i="8" a="1"/>
  <c r="E97" i="8" s="1"/>
  <c r="V97" i="8" a="1"/>
  <c r="V97" i="8" s="1"/>
  <c r="P97" i="8" a="1"/>
  <c r="P97" i="8" s="1"/>
  <c r="J97" i="8" a="1"/>
  <c r="J97" i="8" s="1"/>
  <c r="D97" i="8" a="1"/>
  <c r="D97" i="8" s="1"/>
  <c r="U97" i="8" a="1"/>
  <c r="U97" i="8" s="1"/>
  <c r="O97" i="8" a="1"/>
  <c r="O97" i="8" s="1"/>
  <c r="I97" i="8" a="1"/>
  <c r="I97" i="8" s="1"/>
  <c r="C97" i="8" a="1"/>
  <c r="C97" i="8" s="1"/>
  <c r="T77" i="8" a="1"/>
  <c r="T77" i="8" s="1"/>
  <c r="N77" i="8" a="1"/>
  <c r="N77" i="8" s="1"/>
  <c r="H77" i="8" a="1"/>
  <c r="H77" i="8" s="1"/>
  <c r="B77" i="8" a="1"/>
  <c r="B77" i="8" s="1"/>
  <c r="A77" i="8" s="1"/>
  <c r="W77" i="8" s="1"/>
  <c r="S77" i="8" a="1"/>
  <c r="S77" i="8" s="1"/>
  <c r="M77" i="8" a="1"/>
  <c r="M77" i="8" s="1"/>
  <c r="G77" i="8" a="1"/>
  <c r="G77" i="8" s="1"/>
  <c r="R77" i="8" a="1"/>
  <c r="R77" i="8" s="1"/>
  <c r="L77" i="8" a="1"/>
  <c r="L77" i="8" s="1"/>
  <c r="F77" i="8" a="1"/>
  <c r="F77" i="8" s="1"/>
  <c r="Q77" i="8" a="1"/>
  <c r="Q77" i="8" s="1"/>
  <c r="K77" i="8" a="1"/>
  <c r="K77" i="8" s="1"/>
  <c r="E77" i="8" a="1"/>
  <c r="E77" i="8" s="1"/>
  <c r="V77" i="8" a="1"/>
  <c r="V77" i="8" s="1"/>
  <c r="P77" i="8" a="1"/>
  <c r="P77" i="8" s="1"/>
  <c r="J77" i="8" a="1"/>
  <c r="J77" i="8" s="1"/>
  <c r="D77" i="8" a="1"/>
  <c r="D77" i="8" s="1"/>
  <c r="U77" i="8" a="1"/>
  <c r="U77" i="8" s="1"/>
  <c r="O77" i="8" a="1"/>
  <c r="O77" i="8" s="1"/>
  <c r="I77" i="8" a="1"/>
  <c r="I77" i="8" s="1"/>
  <c r="C77" i="8" a="1"/>
  <c r="C77" i="8" s="1"/>
  <c r="T65" i="8" a="1"/>
  <c r="T65" i="8" s="1"/>
  <c r="N65" i="8" a="1"/>
  <c r="N65" i="8" s="1"/>
  <c r="S65" i="8" a="1"/>
  <c r="S65" i="8" s="1"/>
  <c r="M65" i="8" a="1"/>
  <c r="M65" i="8" s="1"/>
  <c r="Q65" i="8" a="1"/>
  <c r="Q65" i="8" s="1"/>
  <c r="K65" i="8" a="1"/>
  <c r="K65" i="8" s="1"/>
  <c r="V65" i="8" a="1"/>
  <c r="V65" i="8" s="1"/>
  <c r="P65" i="8" a="1"/>
  <c r="P65" i="8" s="1"/>
  <c r="L65" i="8" a="1"/>
  <c r="L65" i="8" s="1"/>
  <c r="J65" i="8" a="1"/>
  <c r="J65" i="8" s="1"/>
  <c r="I65" i="8" a="1"/>
  <c r="I65" i="8" s="1"/>
  <c r="H65" i="8" a="1"/>
  <c r="H65" i="8" s="1"/>
  <c r="G65" i="8" a="1"/>
  <c r="G65" i="8" s="1"/>
  <c r="F65" i="8" a="1"/>
  <c r="F65" i="8" s="1"/>
  <c r="E65" i="8" a="1"/>
  <c r="E65" i="8" s="1"/>
  <c r="D65" i="8" a="1"/>
  <c r="D65" i="8" s="1"/>
  <c r="C65" i="8" a="1"/>
  <c r="C65" i="8" s="1"/>
  <c r="U65" i="8" a="1"/>
  <c r="U65" i="8" s="1"/>
  <c r="B65" i="8" a="1"/>
  <c r="B65" i="8" s="1"/>
  <c r="A65" i="8" s="1"/>
  <c r="W65" i="8" s="1"/>
  <c r="O65" i="8" a="1"/>
  <c r="O65" i="8" s="1"/>
  <c r="R65" i="8" a="1"/>
  <c r="R65" i="8" s="1"/>
  <c r="R34" i="8" a="1"/>
  <c r="R34" i="8" s="1"/>
  <c r="L34" i="8" a="1"/>
  <c r="L34" i="8" s="1"/>
  <c r="F34" i="8" a="1"/>
  <c r="F34" i="8" s="1"/>
  <c r="Q34" i="8" a="1"/>
  <c r="Q34" i="8" s="1"/>
  <c r="K34" i="8" a="1"/>
  <c r="K34" i="8" s="1"/>
  <c r="E34" i="8" a="1"/>
  <c r="E34" i="8" s="1"/>
  <c r="V34" i="8" a="1"/>
  <c r="V34" i="8" s="1"/>
  <c r="P34" i="8" a="1"/>
  <c r="P34" i="8" s="1"/>
  <c r="J34" i="8" a="1"/>
  <c r="J34" i="8" s="1"/>
  <c r="D34" i="8" a="1"/>
  <c r="D34" i="8" s="1"/>
  <c r="U34" i="8" a="1"/>
  <c r="U34" i="8" s="1"/>
  <c r="O34" i="8" a="1"/>
  <c r="O34" i="8" s="1"/>
  <c r="I34" i="8" a="1"/>
  <c r="I34" i="8" s="1"/>
  <c r="C34" i="8" a="1"/>
  <c r="C34" i="8" s="1"/>
  <c r="T34" i="8" a="1"/>
  <c r="T34" i="8" s="1"/>
  <c r="N34" i="8" a="1"/>
  <c r="N34" i="8" s="1"/>
  <c r="H34" i="8" a="1"/>
  <c r="H34" i="8" s="1"/>
  <c r="B34" i="8" a="1"/>
  <c r="B34" i="8" s="1"/>
  <c r="S34" i="8" a="1"/>
  <c r="S34" i="8" s="1"/>
  <c r="M34" i="8" a="1"/>
  <c r="M34" i="8" s="1"/>
  <c r="G34" i="8" a="1"/>
  <c r="G34" i="8" s="1"/>
  <c r="S22" i="8" a="1"/>
  <c r="S22" i="8" s="1"/>
  <c r="M22" i="8" a="1"/>
  <c r="M22" i="8" s="1"/>
  <c r="G22" i="8" a="1"/>
  <c r="G22" i="8" s="1"/>
  <c r="R22" i="8" a="1"/>
  <c r="R22" i="8" s="1"/>
  <c r="L22" i="8" a="1"/>
  <c r="L22" i="8" s="1"/>
  <c r="F22" i="8" a="1"/>
  <c r="F22" i="8" s="1"/>
  <c r="Q22" i="8" a="1"/>
  <c r="Q22" i="8" s="1"/>
  <c r="K22" i="8" a="1"/>
  <c r="K22" i="8" s="1"/>
  <c r="E22" i="8" a="1"/>
  <c r="E22" i="8" s="1"/>
  <c r="V22" i="8" a="1"/>
  <c r="V22" i="8" s="1"/>
  <c r="P22" i="8" a="1"/>
  <c r="P22" i="8" s="1"/>
  <c r="J22" i="8" a="1"/>
  <c r="J22" i="8" s="1"/>
  <c r="D22" i="8" a="1"/>
  <c r="D22" i="8" s="1"/>
  <c r="U22" i="8" a="1"/>
  <c r="U22" i="8" s="1"/>
  <c r="O22" i="8" a="1"/>
  <c r="O22" i="8" s="1"/>
  <c r="I22" i="8" a="1"/>
  <c r="I22" i="8" s="1"/>
  <c r="C22" i="8" a="1"/>
  <c r="C22" i="8" s="1"/>
  <c r="T22" i="8" a="1"/>
  <c r="T22" i="8" s="1"/>
  <c r="N22" i="8" a="1"/>
  <c r="N22" i="8" s="1"/>
  <c r="H22" i="8" a="1"/>
  <c r="H22" i="8" s="1"/>
  <c r="B22" i="8" a="1"/>
  <c r="B22" i="8" s="1"/>
  <c r="R40" i="8" a="1"/>
  <c r="R40" i="8" s="1"/>
  <c r="L40" i="8" a="1"/>
  <c r="L40" i="8" s="1"/>
  <c r="F40" i="8" a="1"/>
  <c r="F40" i="8" s="1"/>
  <c r="Q40" i="8" a="1"/>
  <c r="Q40" i="8" s="1"/>
  <c r="K40" i="8" a="1"/>
  <c r="K40" i="8" s="1"/>
  <c r="E40" i="8" a="1"/>
  <c r="E40" i="8" s="1"/>
  <c r="V40" i="8" a="1"/>
  <c r="V40" i="8" s="1"/>
  <c r="P40" i="8" a="1"/>
  <c r="P40" i="8" s="1"/>
  <c r="J40" i="8" a="1"/>
  <c r="J40" i="8" s="1"/>
  <c r="D40" i="8" a="1"/>
  <c r="D40" i="8" s="1"/>
  <c r="U40" i="8" a="1"/>
  <c r="U40" i="8" s="1"/>
  <c r="O40" i="8" a="1"/>
  <c r="O40" i="8" s="1"/>
  <c r="I40" i="8" a="1"/>
  <c r="I40" i="8" s="1"/>
  <c r="C40" i="8" a="1"/>
  <c r="C40" i="8" s="1"/>
  <c r="T40" i="8" a="1"/>
  <c r="T40" i="8" s="1"/>
  <c r="N40" i="8" a="1"/>
  <c r="N40" i="8" s="1"/>
  <c r="H40" i="8" a="1"/>
  <c r="H40" i="8" s="1"/>
  <c r="B40" i="8" a="1"/>
  <c r="B40" i="8" s="1"/>
  <c r="A40" i="8" s="1"/>
  <c r="W40" i="8" s="1"/>
  <c r="S40" i="8" a="1"/>
  <c r="S40" i="8" s="1"/>
  <c r="M40" i="8" a="1"/>
  <c r="M40" i="8" s="1"/>
  <c r="G40" i="8" a="1"/>
  <c r="G40" i="8" s="1"/>
  <c r="T38" i="8" a="1"/>
  <c r="T38" i="8" s="1"/>
  <c r="N38" i="8" a="1"/>
  <c r="N38" i="8" s="1"/>
  <c r="H38" i="8" a="1"/>
  <c r="H38" i="8" s="1"/>
  <c r="B38" i="8" a="1"/>
  <c r="B38" i="8" s="1"/>
  <c r="A38" i="8" s="1"/>
  <c r="W38" i="8" s="1"/>
  <c r="S38" i="8" a="1"/>
  <c r="S38" i="8" s="1"/>
  <c r="M38" i="8" a="1"/>
  <c r="M38" i="8" s="1"/>
  <c r="G38" i="8" a="1"/>
  <c r="G38" i="8" s="1"/>
  <c r="R38" i="8" a="1"/>
  <c r="R38" i="8" s="1"/>
  <c r="L38" i="8" a="1"/>
  <c r="L38" i="8" s="1"/>
  <c r="F38" i="8" a="1"/>
  <c r="F38" i="8" s="1"/>
  <c r="Q38" i="8" a="1"/>
  <c r="Q38" i="8" s="1"/>
  <c r="K38" i="8" a="1"/>
  <c r="K38" i="8" s="1"/>
  <c r="E38" i="8" a="1"/>
  <c r="E38" i="8" s="1"/>
  <c r="V38" i="8" a="1"/>
  <c r="V38" i="8" s="1"/>
  <c r="P38" i="8" a="1"/>
  <c r="P38" i="8" s="1"/>
  <c r="J38" i="8" a="1"/>
  <c r="J38" i="8" s="1"/>
  <c r="D38" i="8" a="1"/>
  <c r="D38" i="8" s="1"/>
  <c r="U38" i="8" a="1"/>
  <c r="U38" i="8" s="1"/>
  <c r="O38" i="8" a="1"/>
  <c r="O38" i="8" s="1"/>
  <c r="I38" i="8" a="1"/>
  <c r="I38" i="8" s="1"/>
  <c r="C38" i="8" a="1"/>
  <c r="C38" i="8" s="1"/>
  <c r="U7" i="8" a="1"/>
  <c r="U7" i="8" s="1"/>
  <c r="L7" i="8" a="1"/>
  <c r="L7" i="8" s="1"/>
  <c r="Q7" i="8" a="1"/>
  <c r="Q7" i="8" s="1"/>
  <c r="K7" i="8" a="1"/>
  <c r="K7" i="8" s="1"/>
  <c r="E7" i="8" a="1"/>
  <c r="E7" i="8" s="1"/>
  <c r="P7" i="8" a="1"/>
  <c r="P7" i="8" s="1"/>
  <c r="J7" i="8" a="1"/>
  <c r="J7" i="8" s="1"/>
  <c r="D7" i="8" a="1"/>
  <c r="D7" i="8" s="1"/>
  <c r="F7" i="8" a="1"/>
  <c r="F7" i="8" s="1"/>
  <c r="O7" i="8" a="1"/>
  <c r="O7" i="8" s="1"/>
  <c r="I7" i="8" a="1"/>
  <c r="I7" i="8" s="1"/>
  <c r="C7" i="8" a="1"/>
  <c r="C7" i="8" s="1"/>
  <c r="V7" i="8" a="1"/>
  <c r="V7" i="8" s="1"/>
  <c r="N7" i="8" a="1"/>
  <c r="N7" i="8" s="1"/>
  <c r="H7" i="8" a="1"/>
  <c r="H7" i="8" s="1"/>
  <c r="B7" i="8" a="1"/>
  <c r="B7" i="8" s="1"/>
  <c r="T7" i="8" a="1"/>
  <c r="T7" i="8" s="1"/>
  <c r="M7" i="8" a="1"/>
  <c r="M7" i="8" s="1"/>
  <c r="G7" i="8" a="1"/>
  <c r="G7" i="8" s="1"/>
  <c r="S7" i="8" a="1"/>
  <c r="S7" i="8" s="1"/>
  <c r="R7" i="8" a="1"/>
  <c r="R7" i="8" s="1"/>
  <c r="V12" i="8" a="1"/>
  <c r="V12" i="8" s="1"/>
  <c r="P12" i="8" a="1"/>
  <c r="P12" i="8" s="1"/>
  <c r="J12" i="8" a="1"/>
  <c r="J12" i="8" s="1"/>
  <c r="D12" i="8" a="1"/>
  <c r="D12" i="8" s="1"/>
  <c r="U12" i="8" a="1"/>
  <c r="U12" i="8" s="1"/>
  <c r="O12" i="8" a="1"/>
  <c r="O12" i="8" s="1"/>
  <c r="I12" i="8" a="1"/>
  <c r="I12" i="8" s="1"/>
  <c r="C12" i="8" a="1"/>
  <c r="C12" i="8" s="1"/>
  <c r="S12" i="8" a="1"/>
  <c r="S12" i="8" s="1"/>
  <c r="M12" i="8" a="1"/>
  <c r="M12" i="8" s="1"/>
  <c r="G12" i="8" a="1"/>
  <c r="G12" i="8" s="1"/>
  <c r="Q12" i="8" a="1"/>
  <c r="Q12" i="8" s="1"/>
  <c r="F12" i="8" a="1"/>
  <c r="F12" i="8" s="1"/>
  <c r="E12" i="8" a="1"/>
  <c r="E12" i="8" s="1"/>
  <c r="R12" i="8" a="1"/>
  <c r="R12" i="8" s="1"/>
  <c r="N12" i="8" a="1"/>
  <c r="N12" i="8" s="1"/>
  <c r="L12" i="8" a="1"/>
  <c r="L12" i="8" s="1"/>
  <c r="B12" i="8" a="1"/>
  <c r="B12" i="8" s="1"/>
  <c r="K12" i="8" a="1"/>
  <c r="K12" i="8" s="1"/>
  <c r="T12" i="8" a="1"/>
  <c r="T12" i="8" s="1"/>
  <c r="H12" i="8" a="1"/>
  <c r="H12" i="8" s="1"/>
  <c r="R93" i="8" a="1"/>
  <c r="R93" i="8" s="1"/>
  <c r="L93" i="8" a="1"/>
  <c r="L93" i="8" s="1"/>
  <c r="F93" i="8" a="1"/>
  <c r="F93" i="8" s="1"/>
  <c r="Q93" i="8" a="1"/>
  <c r="Q93" i="8" s="1"/>
  <c r="K93" i="8" a="1"/>
  <c r="K93" i="8" s="1"/>
  <c r="E93" i="8" a="1"/>
  <c r="E93" i="8" s="1"/>
  <c r="V93" i="8" a="1"/>
  <c r="V93" i="8" s="1"/>
  <c r="P93" i="8" a="1"/>
  <c r="P93" i="8" s="1"/>
  <c r="J93" i="8" a="1"/>
  <c r="J93" i="8" s="1"/>
  <c r="D93" i="8" a="1"/>
  <c r="D93" i="8" s="1"/>
  <c r="U93" i="8" a="1"/>
  <c r="U93" i="8" s="1"/>
  <c r="O93" i="8" a="1"/>
  <c r="O93" i="8" s="1"/>
  <c r="I93" i="8" a="1"/>
  <c r="I93" i="8" s="1"/>
  <c r="C93" i="8" a="1"/>
  <c r="C93" i="8" s="1"/>
  <c r="T93" i="8" a="1"/>
  <c r="T93" i="8" s="1"/>
  <c r="N93" i="8" a="1"/>
  <c r="N93" i="8" s="1"/>
  <c r="H93" i="8" a="1"/>
  <c r="H93" i="8" s="1"/>
  <c r="B93" i="8" a="1"/>
  <c r="B93" i="8" s="1"/>
  <c r="A93" i="8" s="1"/>
  <c r="W93" i="8" s="1"/>
  <c r="S93" i="8" a="1"/>
  <c r="S93" i="8" s="1"/>
  <c r="M93" i="8" a="1"/>
  <c r="M93" i="8" s="1"/>
  <c r="G93" i="8" a="1"/>
  <c r="G93" i="8" s="1"/>
  <c r="T85" i="8" a="1"/>
  <c r="T85" i="8" s="1"/>
  <c r="N85" i="8" a="1"/>
  <c r="N85" i="8" s="1"/>
  <c r="H85" i="8" a="1"/>
  <c r="H85" i="8" s="1"/>
  <c r="B85" i="8" a="1"/>
  <c r="B85" i="8" s="1"/>
  <c r="A85" i="8" s="1"/>
  <c r="W85" i="8" s="1"/>
  <c r="S85" i="8" a="1"/>
  <c r="S85" i="8" s="1"/>
  <c r="M85" i="8" a="1"/>
  <c r="M85" i="8" s="1"/>
  <c r="G85" i="8" a="1"/>
  <c r="G85" i="8" s="1"/>
  <c r="Q85" i="8" a="1"/>
  <c r="Q85" i="8" s="1"/>
  <c r="K85" i="8" a="1"/>
  <c r="K85" i="8" s="1"/>
  <c r="E85" i="8" a="1"/>
  <c r="E85" i="8" s="1"/>
  <c r="V85" i="8" a="1"/>
  <c r="V85" i="8" s="1"/>
  <c r="P85" i="8" a="1"/>
  <c r="P85" i="8" s="1"/>
  <c r="J85" i="8" a="1"/>
  <c r="J85" i="8" s="1"/>
  <c r="D85" i="8" a="1"/>
  <c r="D85" i="8" s="1"/>
  <c r="U85" i="8" a="1"/>
  <c r="U85" i="8" s="1"/>
  <c r="R85" i="8" a="1"/>
  <c r="R85" i="8" s="1"/>
  <c r="O85" i="8" a="1"/>
  <c r="O85" i="8" s="1"/>
  <c r="L85" i="8" a="1"/>
  <c r="L85" i="8" s="1"/>
  <c r="I85" i="8" a="1"/>
  <c r="I85" i="8" s="1"/>
  <c r="F85" i="8" a="1"/>
  <c r="F85" i="8" s="1"/>
  <c r="C85" i="8" a="1"/>
  <c r="C85" i="8" s="1"/>
  <c r="R73" i="8" a="1"/>
  <c r="R73" i="8" s="1"/>
  <c r="L73" i="8" a="1"/>
  <c r="L73" i="8" s="1"/>
  <c r="F73" i="8" a="1"/>
  <c r="F73" i="8" s="1"/>
  <c r="Q73" i="8" a="1"/>
  <c r="Q73" i="8" s="1"/>
  <c r="K73" i="8" a="1"/>
  <c r="K73" i="8" s="1"/>
  <c r="E73" i="8" a="1"/>
  <c r="E73" i="8" s="1"/>
  <c r="V73" i="8" a="1"/>
  <c r="V73" i="8" s="1"/>
  <c r="P73" i="8" a="1"/>
  <c r="P73" i="8" s="1"/>
  <c r="J73" i="8" a="1"/>
  <c r="J73" i="8" s="1"/>
  <c r="D73" i="8" a="1"/>
  <c r="D73" i="8" s="1"/>
  <c r="U73" i="8" a="1"/>
  <c r="U73" i="8" s="1"/>
  <c r="O73" i="8" a="1"/>
  <c r="O73" i="8" s="1"/>
  <c r="I73" i="8" a="1"/>
  <c r="I73" i="8" s="1"/>
  <c r="C73" i="8" a="1"/>
  <c r="C73" i="8" s="1"/>
  <c r="T73" i="8" a="1"/>
  <c r="T73" i="8" s="1"/>
  <c r="N73" i="8" a="1"/>
  <c r="N73" i="8" s="1"/>
  <c r="H73" i="8" a="1"/>
  <c r="H73" i="8" s="1"/>
  <c r="B73" i="8" a="1"/>
  <c r="B73" i="8" s="1"/>
  <c r="A73" i="8" s="1"/>
  <c r="W73" i="8" s="1"/>
  <c r="S73" i="8" a="1"/>
  <c r="S73" i="8" s="1"/>
  <c r="M73" i="8" a="1"/>
  <c r="M73" i="8" s="1"/>
  <c r="G73" i="8" a="1"/>
  <c r="G73" i="8" s="1"/>
  <c r="S16" i="8" a="1"/>
  <c r="S16" i="8" s="1"/>
  <c r="M16" i="8" a="1"/>
  <c r="M16" i="8" s="1"/>
  <c r="G16" i="8" a="1"/>
  <c r="G16" i="8" s="1"/>
  <c r="R16" i="8" a="1"/>
  <c r="R16" i="8" s="1"/>
  <c r="L16" i="8" a="1"/>
  <c r="L16" i="8" s="1"/>
  <c r="F16" i="8" a="1"/>
  <c r="F16" i="8" s="1"/>
  <c r="Q16" i="8" a="1"/>
  <c r="Q16" i="8" s="1"/>
  <c r="K16" i="8" a="1"/>
  <c r="K16" i="8" s="1"/>
  <c r="E16" i="8" a="1"/>
  <c r="E16" i="8" s="1"/>
  <c r="V16" i="8" a="1"/>
  <c r="V16" i="8" s="1"/>
  <c r="P16" i="8" a="1"/>
  <c r="P16" i="8" s="1"/>
  <c r="J16" i="8" a="1"/>
  <c r="J16" i="8" s="1"/>
  <c r="D16" i="8" a="1"/>
  <c r="D16" i="8" s="1"/>
  <c r="U16" i="8" a="1"/>
  <c r="U16" i="8" s="1"/>
  <c r="O16" i="8" a="1"/>
  <c r="O16" i="8" s="1"/>
  <c r="I16" i="8" a="1"/>
  <c r="I16" i="8" s="1"/>
  <c r="C16" i="8" a="1"/>
  <c r="C16" i="8" s="1"/>
  <c r="T16" i="8" a="1"/>
  <c r="T16" i="8" s="1"/>
  <c r="H16" i="8" a="1"/>
  <c r="H16" i="8" s="1"/>
  <c r="B16" i="8" a="1"/>
  <c r="B16" i="8" s="1"/>
  <c r="N16" i="8" a="1"/>
  <c r="N16" i="8" s="1"/>
  <c r="T47" i="8" a="1"/>
  <c r="T47" i="8" s="1"/>
  <c r="N47" i="8" a="1"/>
  <c r="N47" i="8" s="1"/>
  <c r="H47" i="8" a="1"/>
  <c r="H47" i="8" s="1"/>
  <c r="B47" i="8" a="1"/>
  <c r="B47" i="8" s="1"/>
  <c r="A47" i="8" s="1"/>
  <c r="W47" i="8" s="1"/>
  <c r="S47" i="8" a="1"/>
  <c r="S47" i="8" s="1"/>
  <c r="G47" i="8" a="1"/>
  <c r="G47" i="8" s="1"/>
  <c r="R47" i="8" a="1"/>
  <c r="R47" i="8" s="1"/>
  <c r="F47" i="8" a="1"/>
  <c r="F47" i="8" s="1"/>
  <c r="Q47" i="8" a="1"/>
  <c r="Q47" i="8" s="1"/>
  <c r="E47" i="8" a="1"/>
  <c r="E47" i="8" s="1"/>
  <c r="P47" i="8" a="1"/>
  <c r="P47" i="8" s="1"/>
  <c r="D47" i="8" a="1"/>
  <c r="D47" i="8" s="1"/>
  <c r="O47" i="8" a="1"/>
  <c r="O47" i="8" s="1"/>
  <c r="M47" i="8" a="1"/>
  <c r="M47" i="8" s="1"/>
  <c r="C47" i="8" a="1"/>
  <c r="C47" i="8" s="1"/>
  <c r="L47" i="8" a="1"/>
  <c r="L47" i="8" s="1"/>
  <c r="V47" i="8" a="1"/>
  <c r="V47" i="8" s="1"/>
  <c r="J47" i="8" a="1"/>
  <c r="J47" i="8" s="1"/>
  <c r="U47" i="8" a="1"/>
  <c r="U47" i="8" s="1"/>
  <c r="K47" i="8" a="1"/>
  <c r="K47" i="8" s="1"/>
  <c r="I47" i="8" a="1"/>
  <c r="I47" i="8" s="1"/>
  <c r="T35" i="8" a="1"/>
  <c r="T35" i="8" s="1"/>
  <c r="N35" i="8" a="1"/>
  <c r="N35" i="8" s="1"/>
  <c r="H35" i="8" a="1"/>
  <c r="H35" i="8" s="1"/>
  <c r="B35" i="8" a="1"/>
  <c r="B35" i="8" s="1"/>
  <c r="S35" i="8" a="1"/>
  <c r="S35" i="8" s="1"/>
  <c r="M35" i="8" a="1"/>
  <c r="M35" i="8" s="1"/>
  <c r="G35" i="8" a="1"/>
  <c r="G35" i="8" s="1"/>
  <c r="R35" i="8" a="1"/>
  <c r="R35" i="8" s="1"/>
  <c r="L35" i="8" a="1"/>
  <c r="L35" i="8" s="1"/>
  <c r="F35" i="8" a="1"/>
  <c r="F35" i="8" s="1"/>
  <c r="Q35" i="8" a="1"/>
  <c r="Q35" i="8" s="1"/>
  <c r="K35" i="8" a="1"/>
  <c r="K35" i="8" s="1"/>
  <c r="E35" i="8" a="1"/>
  <c r="E35" i="8" s="1"/>
  <c r="V35" i="8" a="1"/>
  <c r="V35" i="8" s="1"/>
  <c r="P35" i="8" a="1"/>
  <c r="P35" i="8" s="1"/>
  <c r="J35" i="8" a="1"/>
  <c r="J35" i="8" s="1"/>
  <c r="D35" i="8" a="1"/>
  <c r="D35" i="8" s="1"/>
  <c r="U35" i="8" a="1"/>
  <c r="U35" i="8" s="1"/>
  <c r="O35" i="8" a="1"/>
  <c r="O35" i="8" s="1"/>
  <c r="I35" i="8" a="1"/>
  <c r="I35" i="8" s="1"/>
  <c r="C35" i="8" a="1"/>
  <c r="C35" i="8" s="1"/>
  <c r="V53" i="8" a="1"/>
  <c r="V53" i="8" s="1"/>
  <c r="P53" i="8" a="1"/>
  <c r="P53" i="8" s="1"/>
  <c r="J53" i="8" a="1"/>
  <c r="J53" i="8" s="1"/>
  <c r="D53" i="8" a="1"/>
  <c r="D53" i="8" s="1"/>
  <c r="U53" i="8" a="1"/>
  <c r="U53" i="8" s="1"/>
  <c r="O53" i="8" a="1"/>
  <c r="O53" i="8" s="1"/>
  <c r="I53" i="8" a="1"/>
  <c r="I53" i="8" s="1"/>
  <c r="C53" i="8" a="1"/>
  <c r="C53" i="8" s="1"/>
  <c r="T53" i="8" a="1"/>
  <c r="T53" i="8" s="1"/>
  <c r="N53" i="8" a="1"/>
  <c r="N53" i="8" s="1"/>
  <c r="H53" i="8" a="1"/>
  <c r="H53" i="8" s="1"/>
  <c r="B53" i="8" a="1"/>
  <c r="B53" i="8" s="1"/>
  <c r="A53" i="8" s="1"/>
  <c r="W53" i="8" s="1"/>
  <c r="S53" i="8" a="1"/>
  <c r="S53" i="8" s="1"/>
  <c r="M53" i="8" a="1"/>
  <c r="M53" i="8" s="1"/>
  <c r="G53" i="8" a="1"/>
  <c r="G53" i="8" s="1"/>
  <c r="R53" i="8" a="1"/>
  <c r="R53" i="8" s="1"/>
  <c r="L53" i="8" a="1"/>
  <c r="L53" i="8" s="1"/>
  <c r="F53" i="8" a="1"/>
  <c r="F53" i="8" s="1"/>
  <c r="Q53" i="8" a="1"/>
  <c r="Q53" i="8" s="1"/>
  <c r="K53" i="8" a="1"/>
  <c r="K53" i="8" s="1"/>
  <c r="E53" i="8" a="1"/>
  <c r="E53" i="8" s="1"/>
  <c r="R57" i="8" a="1"/>
  <c r="R57" i="8" s="1"/>
  <c r="L57" i="8" a="1"/>
  <c r="L57" i="8" s="1"/>
  <c r="F57" i="8" a="1"/>
  <c r="F57" i="8" s="1"/>
  <c r="Q57" i="8" a="1"/>
  <c r="Q57" i="8" s="1"/>
  <c r="K57" i="8" a="1"/>
  <c r="K57" i="8" s="1"/>
  <c r="E57" i="8" a="1"/>
  <c r="E57" i="8" s="1"/>
  <c r="V57" i="8" a="1"/>
  <c r="V57" i="8" s="1"/>
  <c r="P57" i="8" a="1"/>
  <c r="P57" i="8" s="1"/>
  <c r="J57" i="8" a="1"/>
  <c r="J57" i="8" s="1"/>
  <c r="D57" i="8" a="1"/>
  <c r="D57" i="8" s="1"/>
  <c r="U57" i="8" a="1"/>
  <c r="U57" i="8" s="1"/>
  <c r="O57" i="8" a="1"/>
  <c r="O57" i="8" s="1"/>
  <c r="I57" i="8" a="1"/>
  <c r="I57" i="8" s="1"/>
  <c r="C57" i="8" a="1"/>
  <c r="C57" i="8" s="1"/>
  <c r="T57" i="8" a="1"/>
  <c r="T57" i="8" s="1"/>
  <c r="N57" i="8" a="1"/>
  <c r="N57" i="8" s="1"/>
  <c r="H57" i="8" a="1"/>
  <c r="H57" i="8" s="1"/>
  <c r="B57" i="8" a="1"/>
  <c r="B57" i="8" s="1"/>
  <c r="A57" i="8" s="1"/>
  <c r="W57" i="8" s="1"/>
  <c r="S57" i="8" a="1"/>
  <c r="S57" i="8" s="1"/>
  <c r="M57" i="8" a="1"/>
  <c r="M57" i="8" s="1"/>
  <c r="G57" i="8" a="1"/>
  <c r="G57" i="8" s="1"/>
  <c r="R25" i="8" a="1"/>
  <c r="R25" i="8" s="1"/>
  <c r="V25" i="8" a="1"/>
  <c r="V25" i="8" s="1"/>
  <c r="T25" i="8" a="1"/>
  <c r="T25" i="8" s="1"/>
  <c r="N25" i="8" a="1"/>
  <c r="N25" i="8" s="1"/>
  <c r="O25" i="8" a="1"/>
  <c r="O25" i="8" s="1"/>
  <c r="G25" i="8" a="1"/>
  <c r="G25" i="8" s="1"/>
  <c r="M25" i="8" a="1"/>
  <c r="M25" i="8" s="1"/>
  <c r="F25" i="8" a="1"/>
  <c r="F25" i="8" s="1"/>
  <c r="U25" i="8" a="1"/>
  <c r="U25" i="8" s="1"/>
  <c r="L25" i="8" a="1"/>
  <c r="L25" i="8" s="1"/>
  <c r="E25" i="8" a="1"/>
  <c r="E25" i="8" s="1"/>
  <c r="K25" i="8" a="1"/>
  <c r="K25" i="8" s="1"/>
  <c r="S25" i="8" a="1"/>
  <c r="S25" i="8" s="1"/>
  <c r="D25" i="8" a="1"/>
  <c r="D25" i="8" s="1"/>
  <c r="J25" i="8" a="1"/>
  <c r="J25" i="8" s="1"/>
  <c r="Q25" i="8" a="1"/>
  <c r="Q25" i="8" s="1"/>
  <c r="C25" i="8" a="1"/>
  <c r="C25" i="8" s="1"/>
  <c r="P25" i="8" a="1"/>
  <c r="P25" i="8" s="1"/>
  <c r="H25" i="8" a="1"/>
  <c r="H25" i="8" s="1"/>
  <c r="B25" i="8" a="1"/>
  <c r="B25" i="8" s="1"/>
  <c r="I25" i="8" a="1"/>
  <c r="I25" i="8" s="1"/>
  <c r="V30" i="8" a="1"/>
  <c r="V30" i="8" s="1"/>
  <c r="P30" i="8" a="1"/>
  <c r="P30" i="8" s="1"/>
  <c r="J30" i="8" a="1"/>
  <c r="J30" i="8" s="1"/>
  <c r="D30" i="8" a="1"/>
  <c r="D30" i="8" s="1"/>
  <c r="T30" i="8" a="1"/>
  <c r="T30" i="8" s="1"/>
  <c r="N30" i="8" a="1"/>
  <c r="N30" i="8" s="1"/>
  <c r="H30" i="8" a="1"/>
  <c r="H30" i="8" s="1"/>
  <c r="B30" i="8" a="1"/>
  <c r="B30" i="8" s="1"/>
  <c r="S30" i="8" a="1"/>
  <c r="S30" i="8" s="1"/>
  <c r="M30" i="8" a="1"/>
  <c r="M30" i="8" s="1"/>
  <c r="G30" i="8" a="1"/>
  <c r="G30" i="8" s="1"/>
  <c r="R30" i="8" a="1"/>
  <c r="R30" i="8" s="1"/>
  <c r="L30" i="8" a="1"/>
  <c r="L30" i="8" s="1"/>
  <c r="F30" i="8" a="1"/>
  <c r="F30" i="8" s="1"/>
  <c r="Q30" i="8" a="1"/>
  <c r="Q30" i="8" s="1"/>
  <c r="K30" i="8" a="1"/>
  <c r="K30" i="8" s="1"/>
  <c r="E30" i="8" a="1"/>
  <c r="E30" i="8" s="1"/>
  <c r="U30" i="8" a="1"/>
  <c r="U30" i="8" s="1"/>
  <c r="O30" i="8" a="1"/>
  <c r="O30" i="8" s="1"/>
  <c r="I30" i="8" a="1"/>
  <c r="I30" i="8" s="1"/>
  <c r="C30" i="8" a="1"/>
  <c r="C30" i="8" s="1"/>
  <c r="V101" i="8" a="1"/>
  <c r="V101" i="8" s="1"/>
  <c r="P101" i="8" a="1"/>
  <c r="P101" i="8" s="1"/>
  <c r="J101" i="8" a="1"/>
  <c r="J101" i="8" s="1"/>
  <c r="D101" i="8" a="1"/>
  <c r="D101" i="8" s="1"/>
  <c r="U101" i="8" a="1"/>
  <c r="U101" i="8" s="1"/>
  <c r="O101" i="8" a="1"/>
  <c r="O101" i="8" s="1"/>
  <c r="I101" i="8" a="1"/>
  <c r="I101" i="8" s="1"/>
  <c r="C101" i="8" a="1"/>
  <c r="C101" i="8" s="1"/>
  <c r="T101" i="8" a="1"/>
  <c r="T101" i="8" s="1"/>
  <c r="N101" i="8" a="1"/>
  <c r="N101" i="8" s="1"/>
  <c r="H101" i="8" a="1"/>
  <c r="H101" i="8" s="1"/>
  <c r="B101" i="8" a="1"/>
  <c r="B101" i="8" s="1"/>
  <c r="A101" i="8" s="1"/>
  <c r="W101" i="8" s="1"/>
  <c r="S101" i="8" a="1"/>
  <c r="S101" i="8" s="1"/>
  <c r="M101" i="8" a="1"/>
  <c r="M101" i="8" s="1"/>
  <c r="G101" i="8" a="1"/>
  <c r="G101" i="8" s="1"/>
  <c r="R101" i="8" a="1"/>
  <c r="R101" i="8" s="1"/>
  <c r="L101" i="8" a="1"/>
  <c r="L101" i="8" s="1"/>
  <c r="F101" i="8" a="1"/>
  <c r="F101" i="8" s="1"/>
  <c r="Q101" i="8" a="1"/>
  <c r="Q101" i="8" s="1"/>
  <c r="K101" i="8" a="1"/>
  <c r="K101" i="8" s="1"/>
  <c r="E101" i="8" a="1"/>
  <c r="E101" i="8" s="1"/>
  <c r="Q81" i="8" a="1"/>
  <c r="Q81" i="8" s="1"/>
  <c r="K81" i="8" a="1"/>
  <c r="K81" i="8" s="1"/>
  <c r="E81" i="8" a="1"/>
  <c r="E81" i="8" s="1"/>
  <c r="U81" i="8" a="1"/>
  <c r="U81" i="8" s="1"/>
  <c r="O81" i="8" a="1"/>
  <c r="O81" i="8" s="1"/>
  <c r="P81" i="8" a="1"/>
  <c r="P81" i="8" s="1"/>
  <c r="N81" i="8" a="1"/>
  <c r="N81" i="8" s="1"/>
  <c r="M81" i="8" a="1"/>
  <c r="M81" i="8" s="1"/>
  <c r="L81" i="8" a="1"/>
  <c r="L81" i="8" s="1"/>
  <c r="J81" i="8" a="1"/>
  <c r="J81" i="8" s="1"/>
  <c r="I81" i="8" a="1"/>
  <c r="I81" i="8" s="1"/>
  <c r="H81" i="8" a="1"/>
  <c r="H81" i="8" s="1"/>
  <c r="G81" i="8" a="1"/>
  <c r="G81" i="8" s="1"/>
  <c r="V81" i="8" a="1"/>
  <c r="V81" i="8" s="1"/>
  <c r="F81" i="8" a="1"/>
  <c r="F81" i="8" s="1"/>
  <c r="T81" i="8" a="1"/>
  <c r="T81" i="8" s="1"/>
  <c r="D81" i="8" a="1"/>
  <c r="D81" i="8" s="1"/>
  <c r="S81" i="8" a="1"/>
  <c r="S81" i="8" s="1"/>
  <c r="C81" i="8" a="1"/>
  <c r="C81" i="8" s="1"/>
  <c r="R81" i="8" a="1"/>
  <c r="R81" i="8" s="1"/>
  <c r="B81" i="8" a="1"/>
  <c r="B81" i="8" s="1"/>
  <c r="A81" i="8" s="1"/>
  <c r="W81" i="8" s="1"/>
  <c r="V69" i="8" a="1"/>
  <c r="V69" i="8" s="1"/>
  <c r="P69" i="8" a="1"/>
  <c r="P69" i="8" s="1"/>
  <c r="J69" i="8" a="1"/>
  <c r="J69" i="8" s="1"/>
  <c r="D69" i="8" a="1"/>
  <c r="D69" i="8" s="1"/>
  <c r="U69" i="8" a="1"/>
  <c r="U69" i="8" s="1"/>
  <c r="O69" i="8" a="1"/>
  <c r="O69" i="8" s="1"/>
  <c r="I69" i="8" a="1"/>
  <c r="I69" i="8" s="1"/>
  <c r="C69" i="8" a="1"/>
  <c r="C69" i="8" s="1"/>
  <c r="T69" i="8" a="1"/>
  <c r="T69" i="8" s="1"/>
  <c r="N69" i="8" a="1"/>
  <c r="N69" i="8" s="1"/>
  <c r="H69" i="8" a="1"/>
  <c r="H69" i="8" s="1"/>
  <c r="B69" i="8" a="1"/>
  <c r="B69" i="8" s="1"/>
  <c r="A69" i="8" s="1"/>
  <c r="W69" i="8" s="1"/>
  <c r="S69" i="8" a="1"/>
  <c r="S69" i="8" s="1"/>
  <c r="M69" i="8" a="1"/>
  <c r="M69" i="8" s="1"/>
  <c r="G69" i="8" a="1"/>
  <c r="G69" i="8" s="1"/>
  <c r="R69" i="8" a="1"/>
  <c r="R69" i="8" s="1"/>
  <c r="L69" i="8" a="1"/>
  <c r="L69" i="8" s="1"/>
  <c r="F69" i="8" a="1"/>
  <c r="F69" i="8" s="1"/>
  <c r="Q69" i="8" a="1"/>
  <c r="Q69" i="8" s="1"/>
  <c r="E69" i="8" a="1"/>
  <c r="E69" i="8" s="1"/>
  <c r="K69" i="8" a="1"/>
  <c r="K69" i="8" s="1"/>
  <c r="R54" i="8" a="1"/>
  <c r="R54" i="8" s="1"/>
  <c r="L54" i="8" a="1"/>
  <c r="L54" i="8" s="1"/>
  <c r="F54" i="8" a="1"/>
  <c r="F54" i="8" s="1"/>
  <c r="Q54" i="8" a="1"/>
  <c r="Q54" i="8" s="1"/>
  <c r="K54" i="8" a="1"/>
  <c r="K54" i="8" s="1"/>
  <c r="E54" i="8" a="1"/>
  <c r="E54" i="8" s="1"/>
  <c r="V54" i="8" a="1"/>
  <c r="V54" i="8" s="1"/>
  <c r="P54" i="8" a="1"/>
  <c r="P54" i="8" s="1"/>
  <c r="J54" i="8" a="1"/>
  <c r="J54" i="8" s="1"/>
  <c r="D54" i="8" a="1"/>
  <c r="D54" i="8" s="1"/>
  <c r="U54" i="8" a="1"/>
  <c r="U54" i="8" s="1"/>
  <c r="O54" i="8" a="1"/>
  <c r="O54" i="8" s="1"/>
  <c r="I54" i="8" a="1"/>
  <c r="I54" i="8" s="1"/>
  <c r="C54" i="8" a="1"/>
  <c r="C54" i="8" s="1"/>
  <c r="T54" i="8" a="1"/>
  <c r="T54" i="8" s="1"/>
  <c r="N54" i="8" a="1"/>
  <c r="N54" i="8" s="1"/>
  <c r="H54" i="8" a="1"/>
  <c r="H54" i="8" s="1"/>
  <c r="B54" i="8" a="1"/>
  <c r="B54" i="8" s="1"/>
  <c r="A54" i="8" s="1"/>
  <c r="W54" i="8" s="1"/>
  <c r="S54" i="8" a="1"/>
  <c r="S54" i="8" s="1"/>
  <c r="M54" i="8" a="1"/>
  <c r="M54" i="8" s="1"/>
  <c r="G54" i="8" a="1"/>
  <c r="G54" i="8" s="1"/>
  <c r="T29" i="8" a="1"/>
  <c r="T29" i="8" s="1"/>
  <c r="N29" i="8" a="1"/>
  <c r="N29" i="8" s="1"/>
  <c r="H29" i="8" a="1"/>
  <c r="H29" i="8" s="1"/>
  <c r="B29" i="8" a="1"/>
  <c r="B29" i="8" s="1"/>
  <c r="R29" i="8" a="1"/>
  <c r="R29" i="8" s="1"/>
  <c r="L29" i="8" a="1"/>
  <c r="L29" i="8" s="1"/>
  <c r="F29" i="8" a="1"/>
  <c r="F29" i="8" s="1"/>
  <c r="V29" i="8" a="1"/>
  <c r="V29" i="8" s="1"/>
  <c r="P29" i="8" a="1"/>
  <c r="P29" i="8" s="1"/>
  <c r="J29" i="8" a="1"/>
  <c r="J29" i="8" s="1"/>
  <c r="D29" i="8" a="1"/>
  <c r="D29" i="8" s="1"/>
  <c r="U29" i="8" a="1"/>
  <c r="U29" i="8" s="1"/>
  <c r="O29" i="8" a="1"/>
  <c r="O29" i="8" s="1"/>
  <c r="I29" i="8" a="1"/>
  <c r="I29" i="8" s="1"/>
  <c r="C29" i="8" a="1"/>
  <c r="C29" i="8" s="1"/>
  <c r="S29" i="8" a="1"/>
  <c r="S29" i="8" s="1"/>
  <c r="Q29" i="8" a="1"/>
  <c r="Q29" i="8" s="1"/>
  <c r="M29" i="8" a="1"/>
  <c r="M29" i="8" s="1"/>
  <c r="K29" i="8" a="1"/>
  <c r="K29" i="8" s="1"/>
  <c r="E29" i="8" a="1"/>
  <c r="E29" i="8" s="1"/>
  <c r="G29" i="8" a="1"/>
  <c r="G29" i="8" s="1"/>
  <c r="V64" i="8" a="1"/>
  <c r="V64" i="8" s="1"/>
  <c r="M64" i="8" a="1"/>
  <c r="M64" i="8" s="1"/>
  <c r="D64" i="8" a="1"/>
  <c r="D64" i="8" s="1"/>
  <c r="U64" i="8" a="1"/>
  <c r="U64" i="8" s="1"/>
  <c r="L64" i="8" a="1"/>
  <c r="L64" i="8" s="1"/>
  <c r="C64" i="8" a="1"/>
  <c r="C64" i="8" s="1"/>
  <c r="T64" i="8" a="1"/>
  <c r="T64" i="8" s="1"/>
  <c r="K64" i="8" a="1"/>
  <c r="K64" i="8" s="1"/>
  <c r="B64" i="8" a="1"/>
  <c r="B64" i="8" s="1"/>
  <c r="A64" i="8" s="1"/>
  <c r="W64" i="8" s="1"/>
  <c r="S64" i="8" a="1"/>
  <c r="S64" i="8" s="1"/>
  <c r="J64" i="8" a="1"/>
  <c r="J64" i="8" s="1"/>
  <c r="R64" i="8" a="1"/>
  <c r="R64" i="8" s="1"/>
  <c r="I64" i="8" a="1"/>
  <c r="I64" i="8" s="1"/>
  <c r="Q64" i="8" a="1"/>
  <c r="Q64" i="8" s="1"/>
  <c r="H64" i="8" a="1"/>
  <c r="H64" i="8" s="1"/>
  <c r="P64" i="8" a="1"/>
  <c r="P64" i="8" s="1"/>
  <c r="G64" i="8" a="1"/>
  <c r="G64" i="8" s="1"/>
  <c r="O64" i="8" a="1"/>
  <c r="O64" i="8" s="1"/>
  <c r="F64" i="8" a="1"/>
  <c r="F64" i="8" s="1"/>
  <c r="N64" i="8" a="1"/>
  <c r="N64" i="8" s="1"/>
  <c r="E64" i="8" a="1"/>
  <c r="E64" i="8" s="1"/>
  <c r="U20" i="8" a="1"/>
  <c r="U20" i="8" s="1"/>
  <c r="O20" i="8" a="1"/>
  <c r="O20" i="8" s="1"/>
  <c r="I20" i="8" a="1"/>
  <c r="I20" i="8" s="1"/>
  <c r="C20" i="8" a="1"/>
  <c r="C20" i="8" s="1"/>
  <c r="T20" i="8" a="1"/>
  <c r="T20" i="8" s="1"/>
  <c r="N20" i="8" a="1"/>
  <c r="N20" i="8" s="1"/>
  <c r="H20" i="8" a="1"/>
  <c r="H20" i="8" s="1"/>
  <c r="B20" i="8" a="1"/>
  <c r="B20" i="8" s="1"/>
  <c r="S20" i="8" a="1"/>
  <c r="S20" i="8" s="1"/>
  <c r="M20" i="8" a="1"/>
  <c r="M20" i="8" s="1"/>
  <c r="G20" i="8" a="1"/>
  <c r="G20" i="8" s="1"/>
  <c r="R20" i="8" a="1"/>
  <c r="R20" i="8" s="1"/>
  <c r="L20" i="8" a="1"/>
  <c r="L20" i="8" s="1"/>
  <c r="F20" i="8" a="1"/>
  <c r="F20" i="8" s="1"/>
  <c r="Q20" i="8" a="1"/>
  <c r="Q20" i="8" s="1"/>
  <c r="K20" i="8" a="1"/>
  <c r="K20" i="8" s="1"/>
  <c r="E20" i="8" a="1"/>
  <c r="E20" i="8" s="1"/>
  <c r="V20" i="8" a="1"/>
  <c r="V20" i="8" s="1"/>
  <c r="P20" i="8" a="1"/>
  <c r="P20" i="8" s="1"/>
  <c r="J20" i="8" a="1"/>
  <c r="J20" i="8" s="1"/>
  <c r="D20" i="8" a="1"/>
  <c r="D20" i="8" s="1"/>
  <c r="T5" i="8" a="1"/>
  <c r="T5" i="8" s="1"/>
  <c r="S5" i="8" a="1"/>
  <c r="S5" i="8" s="1"/>
  <c r="M5" i="8" a="1"/>
  <c r="M5" i="8" s="1"/>
  <c r="G5" i="8" a="1"/>
  <c r="G5" i="8" s="1"/>
  <c r="R5" i="8" a="1"/>
  <c r="R5" i="8" s="1"/>
  <c r="L5" i="8" a="1"/>
  <c r="L5" i="8" s="1"/>
  <c r="F5" i="8" a="1"/>
  <c r="F5" i="8" s="1"/>
  <c r="B5" i="8" a="1"/>
  <c r="B5" i="8" s="1"/>
  <c r="Q5" i="8" a="1"/>
  <c r="Q5" i="8" s="1"/>
  <c r="K5" i="8" a="1"/>
  <c r="K5" i="8" s="1"/>
  <c r="E5" i="8" a="1"/>
  <c r="E5" i="8" s="1"/>
  <c r="N5" i="8" a="1"/>
  <c r="N5" i="8" s="1"/>
  <c r="V5" i="8" a="1"/>
  <c r="V5" i="8" s="1"/>
  <c r="P5" i="8" a="1"/>
  <c r="P5" i="8" s="1"/>
  <c r="J5" i="8" a="1"/>
  <c r="J5" i="8" s="1"/>
  <c r="D5" i="8" a="1"/>
  <c r="D5" i="8" s="1"/>
  <c r="U5" i="8" a="1"/>
  <c r="U5" i="8" s="1"/>
  <c r="O5" i="8" a="1"/>
  <c r="O5" i="8" s="1"/>
  <c r="I5" i="8" a="1"/>
  <c r="I5" i="8" s="1"/>
  <c r="C5" i="8" a="1"/>
  <c r="C5" i="8" s="1"/>
  <c r="H5" i="8" a="1"/>
  <c r="H5" i="8" s="1"/>
  <c r="R43" i="8" a="1"/>
  <c r="R43" i="8" s="1"/>
  <c r="J43" i="8" a="1"/>
  <c r="J43" i="8" s="1"/>
  <c r="B43" i="8" a="1"/>
  <c r="B43" i="8" s="1"/>
  <c r="A43" i="8" s="1"/>
  <c r="W43" i="8" s="1"/>
  <c r="Q43" i="8" a="1"/>
  <c r="Q43" i="8" s="1"/>
  <c r="I43" i="8" a="1"/>
  <c r="I43" i="8" s="1"/>
  <c r="P43" i="8" a="1"/>
  <c r="P43" i="8" s="1"/>
  <c r="H43" i="8" a="1"/>
  <c r="H43" i="8" s="1"/>
  <c r="O43" i="8" a="1"/>
  <c r="O43" i="8" s="1"/>
  <c r="G43" i="8" a="1"/>
  <c r="G43" i="8" s="1"/>
  <c r="V43" i="8" a="1"/>
  <c r="V43" i="8" s="1"/>
  <c r="N43" i="8" a="1"/>
  <c r="N43" i="8" s="1"/>
  <c r="F43" i="8" a="1"/>
  <c r="F43" i="8" s="1"/>
  <c r="E43" i="8" a="1"/>
  <c r="E43" i="8" s="1"/>
  <c r="U43" i="8" a="1"/>
  <c r="U43" i="8" s="1"/>
  <c r="M43" i="8" a="1"/>
  <c r="M43" i="8" s="1"/>
  <c r="K43" i="8" a="1"/>
  <c r="K43" i="8" s="1"/>
  <c r="T43" i="8" a="1"/>
  <c r="T43" i="8" s="1"/>
  <c r="S43" i="8" a="1"/>
  <c r="S43" i="8" s="1"/>
  <c r="L43" i="8" a="1"/>
  <c r="L43" i="8" s="1"/>
  <c r="D43" i="8" a="1"/>
  <c r="D43" i="8" s="1"/>
  <c r="C43" i="8" a="1"/>
  <c r="C43" i="8" s="1"/>
  <c r="Q48" i="8" a="1"/>
  <c r="Q48" i="8" s="1"/>
  <c r="V48" i="8" a="1"/>
  <c r="V48" i="8" s="1"/>
  <c r="P48" i="8" a="1"/>
  <c r="P48" i="8" s="1"/>
  <c r="J48" i="8" a="1"/>
  <c r="J48" i="8" s="1"/>
  <c r="D48" i="8" a="1"/>
  <c r="D48" i="8" s="1"/>
  <c r="U48" i="8" a="1"/>
  <c r="U48" i="8" s="1"/>
  <c r="O48" i="8" a="1"/>
  <c r="O48" i="8" s="1"/>
  <c r="I48" i="8" a="1"/>
  <c r="I48" i="8" s="1"/>
  <c r="H48" i="8" a="1"/>
  <c r="H48" i="8" s="1"/>
  <c r="T48" i="8" a="1"/>
  <c r="T48" i="8" s="1"/>
  <c r="G48" i="8" a="1"/>
  <c r="G48" i="8" s="1"/>
  <c r="F48" i="8" a="1"/>
  <c r="F48" i="8" s="1"/>
  <c r="S48" i="8" a="1"/>
  <c r="S48" i="8" s="1"/>
  <c r="E48" i="8" a="1"/>
  <c r="E48" i="8" s="1"/>
  <c r="R48" i="8" a="1"/>
  <c r="R48" i="8" s="1"/>
  <c r="C48" i="8" a="1"/>
  <c r="C48" i="8" s="1"/>
  <c r="N48" i="8" a="1"/>
  <c r="N48" i="8" s="1"/>
  <c r="B48" i="8" a="1"/>
  <c r="B48" i="8" s="1"/>
  <c r="A48" i="8" s="1"/>
  <c r="W48" i="8" s="1"/>
  <c r="L48" i="8" a="1"/>
  <c r="L48" i="8" s="1"/>
  <c r="M48" i="8" a="1"/>
  <c r="M48" i="8" s="1"/>
  <c r="K48" i="8" a="1"/>
  <c r="K48" i="8" s="1"/>
  <c r="V86" i="8" a="1"/>
  <c r="V86" i="8" s="1"/>
  <c r="P86" i="8" a="1"/>
  <c r="P86" i="8" s="1"/>
  <c r="J86" i="8" a="1"/>
  <c r="J86" i="8" s="1"/>
  <c r="D86" i="8" a="1"/>
  <c r="D86" i="8" s="1"/>
  <c r="U86" i="8" a="1"/>
  <c r="U86" i="8" s="1"/>
  <c r="O86" i="8" a="1"/>
  <c r="O86" i="8" s="1"/>
  <c r="I86" i="8" a="1"/>
  <c r="I86" i="8" s="1"/>
  <c r="C86" i="8" a="1"/>
  <c r="C86" i="8" s="1"/>
  <c r="S86" i="8" a="1"/>
  <c r="S86" i="8" s="1"/>
  <c r="M86" i="8" a="1"/>
  <c r="M86" i="8" s="1"/>
  <c r="G86" i="8" a="1"/>
  <c r="G86" i="8" s="1"/>
  <c r="R86" i="8" a="1"/>
  <c r="R86" i="8" s="1"/>
  <c r="L86" i="8" a="1"/>
  <c r="L86" i="8" s="1"/>
  <c r="F86" i="8" a="1"/>
  <c r="F86" i="8" s="1"/>
  <c r="H86" i="8" a="1"/>
  <c r="H86" i="8" s="1"/>
  <c r="E86" i="8" a="1"/>
  <c r="E86" i="8" s="1"/>
  <c r="B86" i="8" a="1"/>
  <c r="B86" i="8" s="1"/>
  <c r="A86" i="8" s="1"/>
  <c r="W86" i="8" s="1"/>
  <c r="T86" i="8" a="1"/>
  <c r="T86" i="8" s="1"/>
  <c r="Q86" i="8" a="1"/>
  <c r="Q86" i="8" s="1"/>
  <c r="N86" i="8" a="1"/>
  <c r="N86" i="8" s="1"/>
  <c r="K86" i="8" a="1"/>
  <c r="K86" i="8" s="1"/>
  <c r="T74" i="8" a="1"/>
  <c r="T74" i="8" s="1"/>
  <c r="N74" i="8" a="1"/>
  <c r="N74" i="8" s="1"/>
  <c r="H74" i="8" a="1"/>
  <c r="H74" i="8" s="1"/>
  <c r="B74" i="8" a="1"/>
  <c r="B74" i="8" s="1"/>
  <c r="A74" i="8" s="1"/>
  <c r="W74" i="8" s="1"/>
  <c r="S74" i="8" a="1"/>
  <c r="S74" i="8" s="1"/>
  <c r="M74" i="8" a="1"/>
  <c r="M74" i="8" s="1"/>
  <c r="G74" i="8" a="1"/>
  <c r="G74" i="8" s="1"/>
  <c r="R74" i="8" a="1"/>
  <c r="R74" i="8" s="1"/>
  <c r="L74" i="8" a="1"/>
  <c r="L74" i="8" s="1"/>
  <c r="F74" i="8" a="1"/>
  <c r="F74" i="8" s="1"/>
  <c r="Q74" i="8" a="1"/>
  <c r="Q74" i="8" s="1"/>
  <c r="K74" i="8" a="1"/>
  <c r="K74" i="8" s="1"/>
  <c r="E74" i="8" a="1"/>
  <c r="E74" i="8" s="1"/>
  <c r="V74" i="8" a="1"/>
  <c r="V74" i="8" s="1"/>
  <c r="P74" i="8" a="1"/>
  <c r="P74" i="8" s="1"/>
  <c r="J74" i="8" a="1"/>
  <c r="J74" i="8" s="1"/>
  <c r="D74" i="8" a="1"/>
  <c r="D74" i="8" s="1"/>
  <c r="U74" i="8" a="1"/>
  <c r="U74" i="8" s="1"/>
  <c r="O74" i="8" a="1"/>
  <c r="O74" i="8" s="1"/>
  <c r="I74" i="8" a="1"/>
  <c r="I74" i="8" s="1"/>
  <c r="C74" i="8" a="1"/>
  <c r="C74" i="8" s="1"/>
  <c r="V98" i="8" a="1"/>
  <c r="V98" i="8" s="1"/>
  <c r="P98" i="8" a="1"/>
  <c r="P98" i="8" s="1"/>
  <c r="J98" i="8" a="1"/>
  <c r="J98" i="8" s="1"/>
  <c r="D98" i="8" a="1"/>
  <c r="D98" i="8" s="1"/>
  <c r="U98" i="8" a="1"/>
  <c r="U98" i="8" s="1"/>
  <c r="O98" i="8" a="1"/>
  <c r="O98" i="8" s="1"/>
  <c r="I98" i="8" a="1"/>
  <c r="I98" i="8" s="1"/>
  <c r="C98" i="8" a="1"/>
  <c r="C98" i="8" s="1"/>
  <c r="T98" i="8" a="1"/>
  <c r="T98" i="8" s="1"/>
  <c r="N98" i="8" a="1"/>
  <c r="N98" i="8" s="1"/>
  <c r="H98" i="8" a="1"/>
  <c r="H98" i="8" s="1"/>
  <c r="B98" i="8" a="1"/>
  <c r="B98" i="8" s="1"/>
  <c r="A98" i="8" s="1"/>
  <c r="W98" i="8" s="1"/>
  <c r="S98" i="8" a="1"/>
  <c r="S98" i="8" s="1"/>
  <c r="M98" i="8" a="1"/>
  <c r="M98" i="8" s="1"/>
  <c r="G98" i="8" a="1"/>
  <c r="G98" i="8" s="1"/>
  <c r="R98" i="8" a="1"/>
  <c r="R98" i="8" s="1"/>
  <c r="L98" i="8" a="1"/>
  <c r="L98" i="8" s="1"/>
  <c r="F98" i="8" a="1"/>
  <c r="F98" i="8" s="1"/>
  <c r="K98" i="8" a="1"/>
  <c r="K98" i="8" s="1"/>
  <c r="E98" i="8" a="1"/>
  <c r="E98" i="8" s="1"/>
  <c r="Q98" i="8" a="1"/>
  <c r="Q98" i="8" s="1"/>
  <c r="T68" i="8" a="1"/>
  <c r="T68" i="8" s="1"/>
  <c r="N68" i="8" a="1"/>
  <c r="N68" i="8" s="1"/>
  <c r="H68" i="8" a="1"/>
  <c r="H68" i="8" s="1"/>
  <c r="B68" i="8" a="1"/>
  <c r="B68" i="8" s="1"/>
  <c r="A68" i="8" s="1"/>
  <c r="W68" i="8" s="1"/>
  <c r="S68" i="8" a="1"/>
  <c r="S68" i="8" s="1"/>
  <c r="M68" i="8" a="1"/>
  <c r="M68" i="8" s="1"/>
  <c r="G68" i="8" a="1"/>
  <c r="G68" i="8" s="1"/>
  <c r="R68" i="8" a="1"/>
  <c r="R68" i="8" s="1"/>
  <c r="Q68" i="8" a="1"/>
  <c r="Q68" i="8" s="1"/>
  <c r="K68" i="8" a="1"/>
  <c r="K68" i="8" s="1"/>
  <c r="E68" i="8" a="1"/>
  <c r="E68" i="8" s="1"/>
  <c r="V68" i="8" a="1"/>
  <c r="V68" i="8" s="1"/>
  <c r="P68" i="8" a="1"/>
  <c r="P68" i="8" s="1"/>
  <c r="J68" i="8" a="1"/>
  <c r="J68" i="8" s="1"/>
  <c r="D68" i="8" a="1"/>
  <c r="D68" i="8" s="1"/>
  <c r="U68" i="8" a="1"/>
  <c r="U68" i="8" s="1"/>
  <c r="O68" i="8" a="1"/>
  <c r="O68" i="8" s="1"/>
  <c r="L68" i="8" a="1"/>
  <c r="L68" i="8" s="1"/>
  <c r="I68" i="8" a="1"/>
  <c r="I68" i="8" s="1"/>
  <c r="F68" i="8" a="1"/>
  <c r="F68" i="8" s="1"/>
  <c r="C68" i="8" a="1"/>
  <c r="C68" i="8" s="1"/>
  <c r="Q21" i="8" a="1"/>
  <c r="Q21" i="8" s="1"/>
  <c r="K21" i="8" a="1"/>
  <c r="K21" i="8" s="1"/>
  <c r="E21" i="8" a="1"/>
  <c r="E21" i="8" s="1"/>
  <c r="V21" i="8" a="1"/>
  <c r="V21" i="8" s="1"/>
  <c r="P21" i="8" a="1"/>
  <c r="P21" i="8" s="1"/>
  <c r="J21" i="8" a="1"/>
  <c r="J21" i="8" s="1"/>
  <c r="D21" i="8" a="1"/>
  <c r="D21" i="8" s="1"/>
  <c r="U21" i="8" a="1"/>
  <c r="U21" i="8" s="1"/>
  <c r="O21" i="8" a="1"/>
  <c r="O21" i="8" s="1"/>
  <c r="I21" i="8" a="1"/>
  <c r="I21" i="8" s="1"/>
  <c r="C21" i="8" a="1"/>
  <c r="C21" i="8" s="1"/>
  <c r="T21" i="8" a="1"/>
  <c r="T21" i="8" s="1"/>
  <c r="N21" i="8" a="1"/>
  <c r="N21" i="8" s="1"/>
  <c r="H21" i="8" a="1"/>
  <c r="H21" i="8" s="1"/>
  <c r="B21" i="8" a="1"/>
  <c r="B21" i="8" s="1"/>
  <c r="S21" i="8" a="1"/>
  <c r="S21" i="8" s="1"/>
  <c r="M21" i="8" a="1"/>
  <c r="M21" i="8" s="1"/>
  <c r="G21" i="8" a="1"/>
  <c r="G21" i="8" s="1"/>
  <c r="R21" i="8" a="1"/>
  <c r="R21" i="8" s="1"/>
  <c r="L21" i="8" a="1"/>
  <c r="L21" i="8" s="1"/>
  <c r="F21" i="8" a="1"/>
  <c r="F21" i="8" s="1"/>
  <c r="V39" i="8" a="1"/>
  <c r="V39" i="8" s="1"/>
  <c r="P39" i="8" a="1"/>
  <c r="P39" i="8" s="1"/>
  <c r="J39" i="8" a="1"/>
  <c r="J39" i="8" s="1"/>
  <c r="D39" i="8" a="1"/>
  <c r="D39" i="8" s="1"/>
  <c r="U39" i="8" a="1"/>
  <c r="U39" i="8" s="1"/>
  <c r="O39" i="8" a="1"/>
  <c r="O39" i="8" s="1"/>
  <c r="I39" i="8" a="1"/>
  <c r="I39" i="8" s="1"/>
  <c r="C39" i="8" a="1"/>
  <c r="C39" i="8" s="1"/>
  <c r="T39" i="8" a="1"/>
  <c r="T39" i="8" s="1"/>
  <c r="N39" i="8" a="1"/>
  <c r="N39" i="8" s="1"/>
  <c r="H39" i="8" a="1"/>
  <c r="H39" i="8" s="1"/>
  <c r="B39" i="8" a="1"/>
  <c r="B39" i="8" s="1"/>
  <c r="A39" i="8" s="1"/>
  <c r="W39" i="8" s="1"/>
  <c r="S39" i="8" a="1"/>
  <c r="S39" i="8" s="1"/>
  <c r="M39" i="8" a="1"/>
  <c r="M39" i="8" s="1"/>
  <c r="G39" i="8" a="1"/>
  <c r="G39" i="8" s="1"/>
  <c r="R39" i="8" a="1"/>
  <c r="R39" i="8" s="1"/>
  <c r="L39" i="8" a="1"/>
  <c r="L39" i="8" s="1"/>
  <c r="F39" i="8" a="1"/>
  <c r="F39" i="8" s="1"/>
  <c r="Q39" i="8" a="1"/>
  <c r="Q39" i="8" s="1"/>
  <c r="K39" i="8" a="1"/>
  <c r="K39" i="8" s="1"/>
  <c r="E39" i="8" a="1"/>
  <c r="E39" i="8" s="1"/>
  <c r="T44" i="8" a="1"/>
  <c r="T44" i="8" s="1"/>
  <c r="L44" i="8" a="1"/>
  <c r="L44" i="8" s="1"/>
  <c r="D44" i="8" a="1"/>
  <c r="D44" i="8" s="1"/>
  <c r="S44" i="8" a="1"/>
  <c r="S44" i="8" s="1"/>
  <c r="K44" i="8" a="1"/>
  <c r="K44" i="8" s="1"/>
  <c r="C44" i="8" a="1"/>
  <c r="C44" i="8" s="1"/>
  <c r="R44" i="8" a="1"/>
  <c r="R44" i="8" s="1"/>
  <c r="J44" i="8" a="1"/>
  <c r="J44" i="8" s="1"/>
  <c r="B44" i="8" a="1"/>
  <c r="B44" i="8" s="1"/>
  <c r="A44" i="8" s="1"/>
  <c r="W44" i="8" s="1"/>
  <c r="Q44" i="8" a="1"/>
  <c r="Q44" i="8" s="1"/>
  <c r="I44" i="8" a="1"/>
  <c r="I44" i="8" s="1"/>
  <c r="P44" i="8" a="1"/>
  <c r="P44" i="8" s="1"/>
  <c r="H44" i="8" a="1"/>
  <c r="H44" i="8" s="1"/>
  <c r="G44" i="8" a="1"/>
  <c r="G44" i="8" s="1"/>
  <c r="O44" i="8" a="1"/>
  <c r="O44" i="8" s="1"/>
  <c r="M44" i="8" a="1"/>
  <c r="M44" i="8" s="1"/>
  <c r="V44" i="8" a="1"/>
  <c r="V44" i="8" s="1"/>
  <c r="U44" i="8" a="1"/>
  <c r="U44" i="8" s="1"/>
  <c r="N44" i="8" a="1"/>
  <c r="N44" i="8" s="1"/>
  <c r="F44" i="8" a="1"/>
  <c r="F44" i="8" s="1"/>
  <c r="E44" i="8" a="1"/>
  <c r="E44" i="8" s="1"/>
  <c r="P61" i="8" a="1"/>
  <c r="P61" i="8" s="1"/>
  <c r="G61" i="8" a="1"/>
  <c r="G61" i="8" s="1"/>
  <c r="O61" i="8" a="1"/>
  <c r="O61" i="8" s="1"/>
  <c r="F61" i="8" a="1"/>
  <c r="F61" i="8" s="1"/>
  <c r="N61" i="8" a="1"/>
  <c r="N61" i="8" s="1"/>
  <c r="E61" i="8" a="1"/>
  <c r="E61" i="8" s="1"/>
  <c r="V61" i="8" a="1"/>
  <c r="V61" i="8" s="1"/>
  <c r="M61" i="8" a="1"/>
  <c r="M61" i="8" s="1"/>
  <c r="D61" i="8" a="1"/>
  <c r="D61" i="8" s="1"/>
  <c r="U61" i="8" a="1"/>
  <c r="U61" i="8" s="1"/>
  <c r="L61" i="8" a="1"/>
  <c r="L61" i="8" s="1"/>
  <c r="C61" i="8" a="1"/>
  <c r="C61" i="8" s="1"/>
  <c r="T61" i="8" a="1"/>
  <c r="T61" i="8" s="1"/>
  <c r="K61" i="8" a="1"/>
  <c r="K61" i="8" s="1"/>
  <c r="B61" i="8" a="1"/>
  <c r="B61" i="8" s="1"/>
  <c r="A61" i="8" s="1"/>
  <c r="W61" i="8" s="1"/>
  <c r="S61" i="8" a="1"/>
  <c r="S61" i="8" s="1"/>
  <c r="J61" i="8" a="1"/>
  <c r="J61" i="8" s="1"/>
  <c r="R61" i="8" a="1"/>
  <c r="R61" i="8" s="1"/>
  <c r="I61" i="8" a="1"/>
  <c r="I61" i="8" s="1"/>
  <c r="Q61" i="8" a="1"/>
  <c r="Q61" i="8" s="1"/>
  <c r="H61" i="8" a="1"/>
  <c r="H61" i="8" s="1"/>
  <c r="R13" i="8" a="1"/>
  <c r="R13" i="8" s="1"/>
  <c r="L13" i="8" a="1"/>
  <c r="L13" i="8" s="1"/>
  <c r="F13" i="8" a="1"/>
  <c r="F13" i="8" s="1"/>
  <c r="Q13" i="8" a="1"/>
  <c r="Q13" i="8" s="1"/>
  <c r="K13" i="8" a="1"/>
  <c r="K13" i="8" s="1"/>
  <c r="E13" i="8" a="1"/>
  <c r="E13" i="8" s="1"/>
  <c r="U13" i="8" a="1"/>
  <c r="U13" i="8" s="1"/>
  <c r="O13" i="8" a="1"/>
  <c r="O13" i="8" s="1"/>
  <c r="I13" i="8" a="1"/>
  <c r="I13" i="8" s="1"/>
  <c r="C13" i="8" a="1"/>
  <c r="C13" i="8" s="1"/>
  <c r="S13" i="8" a="1"/>
  <c r="S13" i="8" s="1"/>
  <c r="P13" i="8" a="1"/>
  <c r="P13" i="8" s="1"/>
  <c r="D13" i="8" a="1"/>
  <c r="D13" i="8" s="1"/>
  <c r="T13" i="8" a="1"/>
  <c r="T13" i="8" s="1"/>
  <c r="N13" i="8" a="1"/>
  <c r="N13" i="8" s="1"/>
  <c r="B13" i="8" a="1"/>
  <c r="B13" i="8" s="1"/>
  <c r="M13" i="8" a="1"/>
  <c r="M13" i="8" s="1"/>
  <c r="J13" i="8" a="1"/>
  <c r="J13" i="8" s="1"/>
  <c r="V13" i="8" a="1"/>
  <c r="V13" i="8" s="1"/>
  <c r="H13" i="8" a="1"/>
  <c r="H13" i="8" s="1"/>
  <c r="G13" i="8" a="1"/>
  <c r="G13" i="8" s="1"/>
  <c r="T94" i="8" a="1"/>
  <c r="T94" i="8" s="1"/>
  <c r="N94" i="8" a="1"/>
  <c r="N94" i="8" s="1"/>
  <c r="H94" i="8" a="1"/>
  <c r="H94" i="8" s="1"/>
  <c r="B94" i="8" a="1"/>
  <c r="B94" i="8" s="1"/>
  <c r="A94" i="8" s="1"/>
  <c r="W94" i="8" s="1"/>
  <c r="S94" i="8" a="1"/>
  <c r="S94" i="8" s="1"/>
  <c r="M94" i="8" a="1"/>
  <c r="M94" i="8" s="1"/>
  <c r="G94" i="8" a="1"/>
  <c r="G94" i="8" s="1"/>
  <c r="R94" i="8" a="1"/>
  <c r="R94" i="8" s="1"/>
  <c r="L94" i="8" a="1"/>
  <c r="L94" i="8" s="1"/>
  <c r="F94" i="8" a="1"/>
  <c r="F94" i="8" s="1"/>
  <c r="Q94" i="8" a="1"/>
  <c r="Q94" i="8" s="1"/>
  <c r="K94" i="8" a="1"/>
  <c r="K94" i="8" s="1"/>
  <c r="E94" i="8" a="1"/>
  <c r="E94" i="8" s="1"/>
  <c r="V94" i="8" a="1"/>
  <c r="V94" i="8" s="1"/>
  <c r="P94" i="8" a="1"/>
  <c r="P94" i="8" s="1"/>
  <c r="J94" i="8" a="1"/>
  <c r="J94" i="8" s="1"/>
  <c r="D94" i="8" a="1"/>
  <c r="D94" i="8" s="1"/>
  <c r="U94" i="8" a="1"/>
  <c r="U94" i="8" s="1"/>
  <c r="O94" i="8" a="1"/>
  <c r="O94" i="8" s="1"/>
  <c r="I94" i="8" a="1"/>
  <c r="I94" i="8" s="1"/>
  <c r="C94" i="8" a="1"/>
  <c r="C94" i="8" s="1"/>
  <c r="T82" i="8" a="1"/>
  <c r="T82" i="8" s="1"/>
  <c r="N82" i="8" a="1"/>
  <c r="N82" i="8" s="1"/>
  <c r="H82" i="8" a="1"/>
  <c r="H82" i="8" s="1"/>
  <c r="B82" i="8" a="1"/>
  <c r="B82" i="8" s="1"/>
  <c r="A82" i="8" s="1"/>
  <c r="W82" i="8" s="1"/>
  <c r="S82" i="8" a="1"/>
  <c r="S82" i="8" s="1"/>
  <c r="M82" i="8" a="1"/>
  <c r="M82" i="8" s="1"/>
  <c r="G82" i="8" a="1"/>
  <c r="G82" i="8" s="1"/>
  <c r="Q82" i="8" a="1"/>
  <c r="Q82" i="8" s="1"/>
  <c r="K82" i="8" a="1"/>
  <c r="K82" i="8" s="1"/>
  <c r="E82" i="8" a="1"/>
  <c r="E82" i="8" s="1"/>
  <c r="V82" i="8" a="1"/>
  <c r="V82" i="8" s="1"/>
  <c r="P82" i="8" a="1"/>
  <c r="P82" i="8" s="1"/>
  <c r="J82" i="8" a="1"/>
  <c r="J82" i="8" s="1"/>
  <c r="D82" i="8" a="1"/>
  <c r="D82" i="8" s="1"/>
  <c r="U82" i="8" a="1"/>
  <c r="U82" i="8" s="1"/>
  <c r="R82" i="8" a="1"/>
  <c r="R82" i="8" s="1"/>
  <c r="O82" i="8" a="1"/>
  <c r="O82" i="8" s="1"/>
  <c r="L82" i="8" a="1"/>
  <c r="L82" i="8" s="1"/>
  <c r="I82" i="8" a="1"/>
  <c r="I82" i="8" s="1"/>
  <c r="F82" i="8" a="1"/>
  <c r="F82" i="8" s="1"/>
  <c r="C82" i="8" a="1"/>
  <c r="C82" i="8" s="1"/>
  <c r="R70" i="8" a="1"/>
  <c r="R70" i="8" s="1"/>
  <c r="L70" i="8" a="1"/>
  <c r="L70" i="8" s="1"/>
  <c r="F70" i="8" a="1"/>
  <c r="F70" i="8" s="1"/>
  <c r="Q70" i="8" a="1"/>
  <c r="Q70" i="8" s="1"/>
  <c r="K70" i="8" a="1"/>
  <c r="K70" i="8" s="1"/>
  <c r="E70" i="8" a="1"/>
  <c r="E70" i="8" s="1"/>
  <c r="V70" i="8" a="1"/>
  <c r="V70" i="8" s="1"/>
  <c r="P70" i="8" a="1"/>
  <c r="P70" i="8" s="1"/>
  <c r="J70" i="8" a="1"/>
  <c r="J70" i="8" s="1"/>
  <c r="D70" i="8" a="1"/>
  <c r="D70" i="8" s="1"/>
  <c r="U70" i="8" a="1"/>
  <c r="U70" i="8" s="1"/>
  <c r="O70" i="8" a="1"/>
  <c r="O70" i="8" s="1"/>
  <c r="I70" i="8" a="1"/>
  <c r="I70" i="8" s="1"/>
  <c r="C70" i="8" a="1"/>
  <c r="C70" i="8" s="1"/>
  <c r="T70" i="8" a="1"/>
  <c r="T70" i="8" s="1"/>
  <c r="N70" i="8" a="1"/>
  <c r="N70" i="8" s="1"/>
  <c r="H70" i="8" a="1"/>
  <c r="H70" i="8" s="1"/>
  <c r="B70" i="8" a="1"/>
  <c r="B70" i="8" s="1"/>
  <c r="A70" i="8" s="1"/>
  <c r="W70" i="8" s="1"/>
  <c r="S70" i="8" a="1"/>
  <c r="S70" i="8" s="1"/>
  <c r="M70" i="8" a="1"/>
  <c r="M70" i="8" s="1"/>
  <c r="G70" i="8" a="1"/>
  <c r="G70" i="8" s="1"/>
  <c r="U17" i="8" a="1"/>
  <c r="U17" i="8" s="1"/>
  <c r="O17" i="8" a="1"/>
  <c r="O17" i="8" s="1"/>
  <c r="I17" i="8" a="1"/>
  <c r="I17" i="8" s="1"/>
  <c r="C17" i="8" a="1"/>
  <c r="C17" i="8" s="1"/>
  <c r="T17" i="8" a="1"/>
  <c r="T17" i="8" s="1"/>
  <c r="N17" i="8" a="1"/>
  <c r="N17" i="8" s="1"/>
  <c r="H17" i="8" a="1"/>
  <c r="H17" i="8" s="1"/>
  <c r="B17" i="8" a="1"/>
  <c r="B17" i="8" s="1"/>
  <c r="S17" i="8" a="1"/>
  <c r="S17" i="8" s="1"/>
  <c r="M17" i="8" a="1"/>
  <c r="M17" i="8" s="1"/>
  <c r="G17" i="8" a="1"/>
  <c r="G17" i="8" s="1"/>
  <c r="R17" i="8" a="1"/>
  <c r="R17" i="8" s="1"/>
  <c r="L17" i="8" a="1"/>
  <c r="L17" i="8" s="1"/>
  <c r="F17" i="8" a="1"/>
  <c r="F17" i="8" s="1"/>
  <c r="Q17" i="8" a="1"/>
  <c r="Q17" i="8" s="1"/>
  <c r="K17" i="8" a="1"/>
  <c r="K17" i="8" s="1"/>
  <c r="E17" i="8" a="1"/>
  <c r="E17" i="8" s="1"/>
  <c r="V17" i="8" a="1"/>
  <c r="V17" i="8" s="1"/>
  <c r="P17" i="8" a="1"/>
  <c r="P17" i="8" s="1"/>
  <c r="J17" i="8" a="1"/>
  <c r="J17" i="8" s="1"/>
  <c r="D17" i="8" a="1"/>
  <c r="D17" i="8" s="1"/>
  <c r="R28" i="8" a="1"/>
  <c r="R28" i="8" s="1"/>
  <c r="L28" i="8" a="1"/>
  <c r="L28" i="8" s="1"/>
  <c r="F28" i="8" a="1"/>
  <c r="F28" i="8" s="1"/>
  <c r="V28" i="8" a="1"/>
  <c r="V28" i="8" s="1"/>
  <c r="P28" i="8" a="1"/>
  <c r="P28" i="8" s="1"/>
  <c r="J28" i="8" a="1"/>
  <c r="J28" i="8" s="1"/>
  <c r="D28" i="8" a="1"/>
  <c r="D28" i="8" s="1"/>
  <c r="T28" i="8" a="1"/>
  <c r="T28" i="8" s="1"/>
  <c r="N28" i="8" a="1"/>
  <c r="N28" i="8" s="1"/>
  <c r="H28" i="8" a="1"/>
  <c r="H28" i="8" s="1"/>
  <c r="B28" i="8" a="1"/>
  <c r="B28" i="8" s="1"/>
  <c r="K28" i="8" a="1"/>
  <c r="K28" i="8" s="1"/>
  <c r="I28" i="8" a="1"/>
  <c r="I28" i="8" s="1"/>
  <c r="U28" i="8" a="1"/>
  <c r="U28" i="8" s="1"/>
  <c r="G28" i="8" a="1"/>
  <c r="G28" i="8" s="1"/>
  <c r="S28" i="8" a="1"/>
  <c r="S28" i="8" s="1"/>
  <c r="E28" i="8" a="1"/>
  <c r="E28" i="8" s="1"/>
  <c r="Q28" i="8" a="1"/>
  <c r="Q28" i="8" s="1"/>
  <c r="O28" i="8" a="1"/>
  <c r="O28" i="8" s="1"/>
  <c r="C28" i="8" a="1"/>
  <c r="C28" i="8" s="1"/>
  <c r="M28" i="8" a="1"/>
  <c r="M28" i="8" s="1"/>
  <c r="R46" i="8" a="1"/>
  <c r="R46" i="8" s="1"/>
  <c r="L46" i="8" a="1"/>
  <c r="L46" i="8" s="1"/>
  <c r="F46" i="8" a="1"/>
  <c r="F46" i="8" s="1"/>
  <c r="T46" i="8" a="1"/>
  <c r="T46" i="8" s="1"/>
  <c r="B46" i="8" a="1"/>
  <c r="B46" i="8" s="1"/>
  <c r="A46" i="8" s="1"/>
  <c r="W46" i="8" s="1"/>
  <c r="J46" i="8" a="1"/>
  <c r="J46" i="8" s="1"/>
  <c r="S46" i="8" a="1"/>
  <c r="S46" i="8" s="1"/>
  <c r="Q46" i="8" a="1"/>
  <c r="Q46" i="8" s="1"/>
  <c r="I46" i="8" a="1"/>
  <c r="I46" i="8" s="1"/>
  <c r="H46" i="8" a="1"/>
  <c r="H46" i="8" s="1"/>
  <c r="P46" i="8" a="1"/>
  <c r="P46" i="8" s="1"/>
  <c r="G46" i="8" a="1"/>
  <c r="G46" i="8" s="1"/>
  <c r="O46" i="8" a="1"/>
  <c r="O46" i="8" s="1"/>
  <c r="E46" i="8" a="1"/>
  <c r="E46" i="8" s="1"/>
  <c r="N46" i="8" a="1"/>
  <c r="N46" i="8" s="1"/>
  <c r="M46" i="8" a="1"/>
  <c r="M46" i="8" s="1"/>
  <c r="D46" i="8" a="1"/>
  <c r="D46" i="8" s="1"/>
  <c r="C46" i="8" a="1"/>
  <c r="C46" i="8" s="1"/>
  <c r="V46" i="8" a="1"/>
  <c r="V46" i="8" s="1"/>
  <c r="U46" i="8" a="1"/>
  <c r="U46" i="8" s="1"/>
  <c r="K46" i="8" a="1"/>
  <c r="K46" i="8" s="1"/>
  <c r="Q63" i="8" a="1"/>
  <c r="Q63" i="8" s="1"/>
  <c r="H63" i="8" a="1"/>
  <c r="H63" i="8" s="1"/>
  <c r="P63" i="8" a="1"/>
  <c r="P63" i="8" s="1"/>
  <c r="G63" i="8" a="1"/>
  <c r="G63" i="8" s="1"/>
  <c r="O63" i="8" a="1"/>
  <c r="O63" i="8" s="1"/>
  <c r="F63" i="8" a="1"/>
  <c r="F63" i="8" s="1"/>
  <c r="N63" i="8" a="1"/>
  <c r="N63" i="8" s="1"/>
  <c r="E63" i="8" a="1"/>
  <c r="E63" i="8" s="1"/>
  <c r="V63" i="8" a="1"/>
  <c r="V63" i="8" s="1"/>
  <c r="M63" i="8" a="1"/>
  <c r="M63" i="8" s="1"/>
  <c r="D63" i="8" a="1"/>
  <c r="D63" i="8" s="1"/>
  <c r="U63" i="8" a="1"/>
  <c r="U63" i="8" s="1"/>
  <c r="L63" i="8" a="1"/>
  <c r="L63" i="8" s="1"/>
  <c r="C63" i="8" a="1"/>
  <c r="C63" i="8" s="1"/>
  <c r="T63" i="8" a="1"/>
  <c r="T63" i="8" s="1"/>
  <c r="K63" i="8" a="1"/>
  <c r="K63" i="8" s="1"/>
  <c r="B63" i="8" a="1"/>
  <c r="B63" i="8" s="1"/>
  <c r="S63" i="8" a="1"/>
  <c r="S63" i="8" s="1"/>
  <c r="J63" i="8" a="1"/>
  <c r="J63" i="8" s="1"/>
  <c r="R63" i="8" a="1"/>
  <c r="R63" i="8" s="1"/>
  <c r="I63" i="8" a="1"/>
  <c r="I63" i="8" s="1"/>
  <c r="U6" i="8" a="1"/>
  <c r="U6" i="8" s="1"/>
  <c r="O6" i="8" a="1"/>
  <c r="O6" i="8" s="1"/>
  <c r="I6" i="8" a="1"/>
  <c r="I6" i="8" s="1"/>
  <c r="C6" i="8" a="1"/>
  <c r="C6" i="8" s="1"/>
  <c r="T6" i="8" a="1"/>
  <c r="T6" i="8" s="1"/>
  <c r="N6" i="8" a="1"/>
  <c r="N6" i="8" s="1"/>
  <c r="H6" i="8" a="1"/>
  <c r="H6" i="8" s="1"/>
  <c r="B6" i="8" a="1"/>
  <c r="B6" i="8" s="1"/>
  <c r="P6" i="8" a="1"/>
  <c r="P6" i="8" s="1"/>
  <c r="D6" i="8" a="1"/>
  <c r="D6" i="8" s="1"/>
  <c r="S6" i="8" a="1"/>
  <c r="S6" i="8" s="1"/>
  <c r="M6" i="8" a="1"/>
  <c r="M6" i="8" s="1"/>
  <c r="G6" i="8" a="1"/>
  <c r="G6" i="8" s="1"/>
  <c r="V6" i="8" a="1"/>
  <c r="V6" i="8" s="1"/>
  <c r="R6" i="8" a="1"/>
  <c r="R6" i="8" s="1"/>
  <c r="L6" i="8" a="1"/>
  <c r="L6" i="8" s="1"/>
  <c r="F6" i="8" a="1"/>
  <c r="F6" i="8" s="1"/>
  <c r="Q6" i="8" a="1"/>
  <c r="Q6" i="8" s="1"/>
  <c r="K6" i="8" a="1"/>
  <c r="K6" i="8" s="1"/>
  <c r="E6" i="8" a="1"/>
  <c r="E6" i="8" s="1"/>
  <c r="J6" i="8" a="1"/>
  <c r="J6" i="8" s="1"/>
  <c r="R31" i="8" a="1"/>
  <c r="R31" i="8" s="1"/>
  <c r="L31" i="8" a="1"/>
  <c r="L31" i="8" s="1"/>
  <c r="F31" i="8" a="1"/>
  <c r="F31" i="8" s="1"/>
  <c r="V31" i="8" a="1"/>
  <c r="V31" i="8" s="1"/>
  <c r="P31" i="8" a="1"/>
  <c r="P31" i="8" s="1"/>
  <c r="J31" i="8" a="1"/>
  <c r="J31" i="8" s="1"/>
  <c r="D31" i="8" a="1"/>
  <c r="D31" i="8" s="1"/>
  <c r="U31" i="8" a="1"/>
  <c r="U31" i="8" s="1"/>
  <c r="O31" i="8" a="1"/>
  <c r="O31" i="8" s="1"/>
  <c r="I31" i="8" a="1"/>
  <c r="I31" i="8" s="1"/>
  <c r="C31" i="8" a="1"/>
  <c r="C31" i="8" s="1"/>
  <c r="T31" i="8" a="1"/>
  <c r="T31" i="8" s="1"/>
  <c r="N31" i="8" a="1"/>
  <c r="N31" i="8" s="1"/>
  <c r="H31" i="8" a="1"/>
  <c r="H31" i="8" s="1"/>
  <c r="B31" i="8" a="1"/>
  <c r="B31" i="8" s="1"/>
  <c r="S31" i="8" a="1"/>
  <c r="S31" i="8" s="1"/>
  <c r="M31" i="8" a="1"/>
  <c r="M31" i="8" s="1"/>
  <c r="G31" i="8" a="1"/>
  <c r="G31" i="8" s="1"/>
  <c r="Q31" i="8" a="1"/>
  <c r="Q31" i="8" s="1"/>
  <c r="K31" i="8" a="1"/>
  <c r="K31" i="8" s="1"/>
  <c r="E31" i="8" a="1"/>
  <c r="E31" i="8" s="1"/>
  <c r="R90" i="8" a="1"/>
  <c r="R90" i="8" s="1"/>
  <c r="L90" i="8" a="1"/>
  <c r="L90" i="8" s="1"/>
  <c r="F90" i="8" a="1"/>
  <c r="F90" i="8" s="1"/>
  <c r="Q90" i="8" a="1"/>
  <c r="Q90" i="8" s="1"/>
  <c r="K90" i="8" a="1"/>
  <c r="K90" i="8" s="1"/>
  <c r="E90" i="8" a="1"/>
  <c r="E90" i="8" s="1"/>
  <c r="V90" i="8" a="1"/>
  <c r="V90" i="8" s="1"/>
  <c r="P90" i="8" a="1"/>
  <c r="P90" i="8" s="1"/>
  <c r="J90" i="8" a="1"/>
  <c r="J90" i="8" s="1"/>
  <c r="D90" i="8" a="1"/>
  <c r="D90" i="8" s="1"/>
  <c r="U90" i="8" a="1"/>
  <c r="U90" i="8" s="1"/>
  <c r="O90" i="8" a="1"/>
  <c r="O90" i="8" s="1"/>
  <c r="I90" i="8" a="1"/>
  <c r="I90" i="8" s="1"/>
  <c r="C90" i="8" a="1"/>
  <c r="C90" i="8" s="1"/>
  <c r="T90" i="8" a="1"/>
  <c r="T90" i="8" s="1"/>
  <c r="N90" i="8" a="1"/>
  <c r="N90" i="8" s="1"/>
  <c r="H90" i="8" a="1"/>
  <c r="H90" i="8" s="1"/>
  <c r="B90" i="8" a="1"/>
  <c r="B90" i="8" s="1"/>
  <c r="A90" i="8" s="1"/>
  <c r="W90" i="8" s="1"/>
  <c r="S90" i="8" a="1"/>
  <c r="S90" i="8" s="1"/>
  <c r="M90" i="8" a="1"/>
  <c r="M90" i="8" s="1"/>
  <c r="G90" i="8" a="1"/>
  <c r="G90" i="8" s="1"/>
  <c r="P78" i="8" a="1"/>
  <c r="P78" i="8" s="1"/>
  <c r="J78" i="8" a="1"/>
  <c r="J78" i="8" s="1"/>
  <c r="D78" i="8" a="1"/>
  <c r="D78" i="8" s="1"/>
  <c r="O78" i="8" a="1"/>
  <c r="O78" i="8" s="1"/>
  <c r="I78" i="8" a="1"/>
  <c r="I78" i="8" s="1"/>
  <c r="C78" i="8" a="1"/>
  <c r="C78" i="8" s="1"/>
  <c r="V78" i="8" a="1"/>
  <c r="V78" i="8" s="1"/>
  <c r="U78" i="8" a="1"/>
  <c r="U78" i="8" s="1"/>
  <c r="N78" i="8" a="1"/>
  <c r="N78" i="8" s="1"/>
  <c r="H78" i="8" a="1"/>
  <c r="H78" i="8" s="1"/>
  <c r="B78" i="8" a="1"/>
  <c r="B78" i="8" s="1"/>
  <c r="A78" i="8" s="1"/>
  <c r="W78" i="8" s="1"/>
  <c r="T78" i="8" a="1"/>
  <c r="T78" i="8" s="1"/>
  <c r="S78" i="8" a="1"/>
  <c r="S78" i="8" s="1"/>
  <c r="M78" i="8" a="1"/>
  <c r="M78" i="8" s="1"/>
  <c r="G78" i="8" a="1"/>
  <c r="G78" i="8" s="1"/>
  <c r="R78" i="8" a="1"/>
  <c r="R78" i="8" s="1"/>
  <c r="L78" i="8" a="1"/>
  <c r="L78" i="8" s="1"/>
  <c r="F78" i="8" a="1"/>
  <c r="F78" i="8" s="1"/>
  <c r="Q78" i="8" a="1"/>
  <c r="Q78" i="8" s="1"/>
  <c r="K78" i="8" a="1"/>
  <c r="K78" i="8" s="1"/>
  <c r="E78" i="8" a="1"/>
  <c r="E78" i="8" s="1"/>
  <c r="V66" i="8" a="1"/>
  <c r="V66" i="8" s="1"/>
  <c r="P66" i="8" a="1"/>
  <c r="P66" i="8" s="1"/>
  <c r="J66" i="8" a="1"/>
  <c r="J66" i="8" s="1"/>
  <c r="D66" i="8" a="1"/>
  <c r="D66" i="8" s="1"/>
  <c r="U66" i="8" a="1"/>
  <c r="U66" i="8" s="1"/>
  <c r="O66" i="8" a="1"/>
  <c r="O66" i="8" s="1"/>
  <c r="I66" i="8" a="1"/>
  <c r="I66" i="8" s="1"/>
  <c r="C66" i="8" a="1"/>
  <c r="C66" i="8" s="1"/>
  <c r="S66" i="8" a="1"/>
  <c r="S66" i="8" s="1"/>
  <c r="M66" i="8" a="1"/>
  <c r="M66" i="8" s="1"/>
  <c r="G66" i="8" a="1"/>
  <c r="G66" i="8" s="1"/>
  <c r="R66" i="8" a="1"/>
  <c r="R66" i="8" s="1"/>
  <c r="L66" i="8" a="1"/>
  <c r="L66" i="8" s="1"/>
  <c r="F66" i="8" a="1"/>
  <c r="F66" i="8" s="1"/>
  <c r="T66" i="8" a="1"/>
  <c r="T66" i="8" s="1"/>
  <c r="Q66" i="8" a="1"/>
  <c r="Q66" i="8" s="1"/>
  <c r="N66" i="8" a="1"/>
  <c r="N66" i="8" s="1"/>
  <c r="K66" i="8" a="1"/>
  <c r="K66" i="8" s="1"/>
  <c r="H66" i="8" a="1"/>
  <c r="H66" i="8" s="1"/>
  <c r="E66" i="8" a="1"/>
  <c r="E66" i="8" s="1"/>
  <c r="B66" i="8" a="1"/>
  <c r="B66" i="8" s="1"/>
  <c r="A66" i="8" s="1"/>
  <c r="W66" i="8" s="1"/>
  <c r="U62" i="8" a="1"/>
  <c r="U62" i="8" s="1"/>
  <c r="L62" i="8" a="1"/>
  <c r="L62" i="8" s="1"/>
  <c r="C62" i="8" a="1"/>
  <c r="C62" i="8" s="1"/>
  <c r="T62" i="8" a="1"/>
  <c r="T62" i="8" s="1"/>
  <c r="K62" i="8" a="1"/>
  <c r="K62" i="8" s="1"/>
  <c r="B62" i="8" a="1"/>
  <c r="B62" i="8" s="1"/>
  <c r="A62" i="8" s="1"/>
  <c r="W62" i="8" s="1"/>
  <c r="S62" i="8" a="1"/>
  <c r="S62" i="8" s="1"/>
  <c r="J62" i="8" a="1"/>
  <c r="J62" i="8" s="1"/>
  <c r="R62" i="8" a="1"/>
  <c r="R62" i="8" s="1"/>
  <c r="I62" i="8" a="1"/>
  <c r="I62" i="8" s="1"/>
  <c r="Q62" i="8" a="1"/>
  <c r="Q62" i="8" s="1"/>
  <c r="H62" i="8" a="1"/>
  <c r="H62" i="8" s="1"/>
  <c r="P62" i="8" a="1"/>
  <c r="P62" i="8" s="1"/>
  <c r="G62" i="8" a="1"/>
  <c r="G62" i="8" s="1"/>
  <c r="O62" i="8" a="1"/>
  <c r="O62" i="8" s="1"/>
  <c r="F62" i="8" a="1"/>
  <c r="F62" i="8" s="1"/>
  <c r="N62" i="8" a="1"/>
  <c r="N62" i="8" s="1"/>
  <c r="E62" i="8" a="1"/>
  <c r="E62" i="8" s="1"/>
  <c r="V62" i="8" a="1"/>
  <c r="V62" i="8" s="1"/>
  <c r="M62" i="8" a="1"/>
  <c r="M62" i="8" s="1"/>
  <c r="D62" i="8" a="1"/>
  <c r="D62" i="8" s="1"/>
  <c r="V56" i="8" a="1"/>
  <c r="V56" i="8" s="1"/>
  <c r="P56" i="8" a="1"/>
  <c r="P56" i="8" s="1"/>
  <c r="J56" i="8" a="1"/>
  <c r="J56" i="8" s="1"/>
  <c r="D56" i="8" a="1"/>
  <c r="D56" i="8" s="1"/>
  <c r="U56" i="8" a="1"/>
  <c r="U56" i="8" s="1"/>
  <c r="O56" i="8" a="1"/>
  <c r="O56" i="8" s="1"/>
  <c r="I56" i="8" a="1"/>
  <c r="I56" i="8" s="1"/>
  <c r="C56" i="8" a="1"/>
  <c r="C56" i="8" s="1"/>
  <c r="T56" i="8" a="1"/>
  <c r="T56" i="8" s="1"/>
  <c r="N56" i="8" a="1"/>
  <c r="N56" i="8" s="1"/>
  <c r="H56" i="8" a="1"/>
  <c r="H56" i="8" s="1"/>
  <c r="B56" i="8" a="1"/>
  <c r="B56" i="8" s="1"/>
  <c r="A56" i="8" s="1"/>
  <c r="W56" i="8" s="1"/>
  <c r="S56" i="8" a="1"/>
  <c r="S56" i="8" s="1"/>
  <c r="M56" i="8" a="1"/>
  <c r="M56" i="8" s="1"/>
  <c r="G56" i="8" a="1"/>
  <c r="G56" i="8" s="1"/>
  <c r="R56" i="8" a="1"/>
  <c r="R56" i="8" s="1"/>
  <c r="L56" i="8" a="1"/>
  <c r="L56" i="8" s="1"/>
  <c r="F56" i="8" a="1"/>
  <c r="F56" i="8" s="1"/>
  <c r="Q56" i="8" a="1"/>
  <c r="Q56" i="8" s="1"/>
  <c r="K56" i="8" a="1"/>
  <c r="K56" i="8" s="1"/>
  <c r="E56" i="8" a="1"/>
  <c r="E56" i="8" s="1"/>
  <c r="V41" i="8" a="1"/>
  <c r="V41" i="8" s="1"/>
  <c r="N41" i="8" a="1"/>
  <c r="N41" i="8" s="1"/>
  <c r="H41" i="8" a="1"/>
  <c r="H41" i="8" s="1"/>
  <c r="B41" i="8" a="1"/>
  <c r="B41" i="8" s="1"/>
  <c r="A41" i="8" s="1"/>
  <c r="W41" i="8" s="1"/>
  <c r="U41" i="8" a="1"/>
  <c r="U41" i="8" s="1"/>
  <c r="M41" i="8" a="1"/>
  <c r="M41" i="8" s="1"/>
  <c r="G41" i="8" a="1"/>
  <c r="G41" i="8" s="1"/>
  <c r="T41" i="8" a="1"/>
  <c r="T41" i="8" s="1"/>
  <c r="S41" i="8" a="1"/>
  <c r="S41" i="8" s="1"/>
  <c r="L41" i="8" a="1"/>
  <c r="L41" i="8" s="1"/>
  <c r="F41" i="8" a="1"/>
  <c r="F41" i="8" s="1"/>
  <c r="R41" i="8" a="1"/>
  <c r="R41" i="8" s="1"/>
  <c r="K41" i="8" a="1"/>
  <c r="K41" i="8" s="1"/>
  <c r="E41" i="8" a="1"/>
  <c r="E41" i="8" s="1"/>
  <c r="Q41" i="8" a="1"/>
  <c r="Q41" i="8" s="1"/>
  <c r="J41" i="8" a="1"/>
  <c r="J41" i="8" s="1"/>
  <c r="D41" i="8" a="1"/>
  <c r="D41" i="8" s="1"/>
  <c r="I41" i="8" a="1"/>
  <c r="I41" i="8" s="1"/>
  <c r="C41" i="8" a="1"/>
  <c r="C41" i="8" s="1"/>
  <c r="P41" i="8" a="1"/>
  <c r="P41" i="8" s="1"/>
  <c r="O41" i="8" a="1"/>
  <c r="O41" i="8" s="1"/>
  <c r="O59" i="8" a="1"/>
  <c r="O59" i="8" s="1"/>
  <c r="F59" i="8" a="1"/>
  <c r="F59" i="8" s="1"/>
  <c r="N59" i="8" a="1"/>
  <c r="N59" i="8" s="1"/>
  <c r="E59" i="8" a="1"/>
  <c r="E59" i="8" s="1"/>
  <c r="V59" i="8" a="1"/>
  <c r="V59" i="8" s="1"/>
  <c r="M59" i="8" a="1"/>
  <c r="M59" i="8" s="1"/>
  <c r="D59" i="8" a="1"/>
  <c r="D59" i="8" s="1"/>
  <c r="U59" i="8" a="1"/>
  <c r="U59" i="8" s="1"/>
  <c r="L59" i="8" a="1"/>
  <c r="L59" i="8" s="1"/>
  <c r="C59" i="8" a="1"/>
  <c r="C59" i="8" s="1"/>
  <c r="T59" i="8" a="1"/>
  <c r="T59" i="8" s="1"/>
  <c r="K59" i="8" a="1"/>
  <c r="K59" i="8" s="1"/>
  <c r="B59" i="8" a="1"/>
  <c r="B59" i="8" s="1"/>
  <c r="A59" i="8" s="1"/>
  <c r="W59" i="8" s="1"/>
  <c r="S59" i="8" a="1"/>
  <c r="S59" i="8" s="1"/>
  <c r="J59" i="8" a="1"/>
  <c r="J59" i="8" s="1"/>
  <c r="R59" i="8" a="1"/>
  <c r="R59" i="8" s="1"/>
  <c r="I59" i="8" a="1"/>
  <c r="I59" i="8" s="1"/>
  <c r="Q59" i="8" a="1"/>
  <c r="Q59" i="8" s="1"/>
  <c r="H59" i="8" a="1"/>
  <c r="H59" i="8" s="1"/>
  <c r="P59" i="8" a="1"/>
  <c r="P59" i="8" s="1"/>
  <c r="G59" i="8" a="1"/>
  <c r="G59" i="8" s="1"/>
  <c r="T11" i="8" a="1"/>
  <c r="T11" i="8" s="1"/>
  <c r="N11" i="8" a="1"/>
  <c r="N11" i="8" s="1"/>
  <c r="H11" i="8" a="1"/>
  <c r="H11" i="8" s="1"/>
  <c r="B11" i="8" a="1"/>
  <c r="B11" i="8" s="1"/>
  <c r="S11" i="8" a="1"/>
  <c r="S11" i="8" s="1"/>
  <c r="M11" i="8" a="1"/>
  <c r="M11" i="8" s="1"/>
  <c r="G11" i="8" a="1"/>
  <c r="G11" i="8" s="1"/>
  <c r="Q11" i="8" a="1"/>
  <c r="Q11" i="8" s="1"/>
  <c r="K11" i="8" a="1"/>
  <c r="K11" i="8" s="1"/>
  <c r="E11" i="8" a="1"/>
  <c r="E11" i="8" s="1"/>
  <c r="I11" i="8" a="1"/>
  <c r="I11" i="8" s="1"/>
  <c r="R11" i="8" a="1"/>
  <c r="R11" i="8" s="1"/>
  <c r="P11" i="8" a="1"/>
  <c r="P11" i="8" s="1"/>
  <c r="F11" i="8" a="1"/>
  <c r="F11" i="8" s="1"/>
  <c r="O11" i="8" a="1"/>
  <c r="O11" i="8" s="1"/>
  <c r="D11" i="8" a="1"/>
  <c r="D11" i="8" s="1"/>
  <c r="C11" i="8" a="1"/>
  <c r="C11" i="8" s="1"/>
  <c r="V11" i="8" a="1"/>
  <c r="V11" i="8" s="1"/>
  <c r="L11" i="8" a="1"/>
  <c r="L11" i="8" s="1"/>
  <c r="U11" i="8" a="1"/>
  <c r="U11" i="8" s="1"/>
  <c r="J11" i="8" a="1"/>
  <c r="J11" i="8" s="1"/>
  <c r="V9" i="8" a="1"/>
  <c r="V9" i="8" s="1"/>
  <c r="P9" i="8" a="1"/>
  <c r="P9" i="8" s="1"/>
  <c r="J9" i="8" a="1"/>
  <c r="J9" i="8" s="1"/>
  <c r="D9" i="8" a="1"/>
  <c r="D9" i="8" s="1"/>
  <c r="U9" i="8" a="1"/>
  <c r="U9" i="8" s="1"/>
  <c r="O9" i="8" a="1"/>
  <c r="O9" i="8" s="1"/>
  <c r="I9" i="8" a="1"/>
  <c r="I9" i="8" s="1"/>
  <c r="C9" i="8" a="1"/>
  <c r="C9" i="8" s="1"/>
  <c r="S9" i="8" a="1"/>
  <c r="S9" i="8" s="1"/>
  <c r="M9" i="8" a="1"/>
  <c r="M9" i="8" s="1"/>
  <c r="G9" i="8" a="1"/>
  <c r="G9" i="8" s="1"/>
  <c r="B9" i="8" a="1"/>
  <c r="B9" i="8" s="1"/>
  <c r="K9" i="8" a="1"/>
  <c r="K9" i="8" s="1"/>
  <c r="T9" i="8" a="1"/>
  <c r="T9" i="8" s="1"/>
  <c r="L9" i="8" a="1"/>
  <c r="L9" i="8" s="1"/>
  <c r="R9" i="8" a="1"/>
  <c r="R9" i="8" s="1"/>
  <c r="H9" i="8" a="1"/>
  <c r="H9" i="8" s="1"/>
  <c r="Q9" i="8" a="1"/>
  <c r="Q9" i="8" s="1"/>
  <c r="F9" i="8" a="1"/>
  <c r="F9" i="8" s="1"/>
  <c r="E9" i="8" a="1"/>
  <c r="E9" i="8" s="1"/>
  <c r="N9" i="8" a="1"/>
  <c r="N9" i="8" s="1"/>
  <c r="T49" i="8" a="1"/>
  <c r="T49" i="8" s="1"/>
  <c r="N49" i="8" a="1"/>
  <c r="N49" i="8" s="1"/>
  <c r="S49" i="8" a="1"/>
  <c r="S49" i="8" s="1"/>
  <c r="M49" i="8" a="1"/>
  <c r="M49" i="8" s="1"/>
  <c r="G49" i="8" a="1"/>
  <c r="G49" i="8" s="1"/>
  <c r="R49" i="8" a="1"/>
  <c r="R49" i="8" s="1"/>
  <c r="L49" i="8" a="1"/>
  <c r="L49" i="8" s="1"/>
  <c r="F49" i="8" a="1"/>
  <c r="F49" i="8" s="1"/>
  <c r="Q49" i="8" a="1"/>
  <c r="Q49" i="8" s="1"/>
  <c r="K49" i="8" a="1"/>
  <c r="K49" i="8" s="1"/>
  <c r="E49" i="8" a="1"/>
  <c r="E49" i="8" s="1"/>
  <c r="V49" i="8" a="1"/>
  <c r="V49" i="8" s="1"/>
  <c r="C49" i="8" a="1"/>
  <c r="C49" i="8" s="1"/>
  <c r="B49" i="8" a="1"/>
  <c r="B49" i="8" s="1"/>
  <c r="A49" i="8" s="1"/>
  <c r="W49" i="8" s="1"/>
  <c r="U49" i="8" a="1"/>
  <c r="U49" i="8" s="1"/>
  <c r="P49" i="8" a="1"/>
  <c r="P49" i="8" s="1"/>
  <c r="O49" i="8" a="1"/>
  <c r="O49" i="8" s="1"/>
  <c r="J49" i="8" a="1"/>
  <c r="J49" i="8" s="1"/>
  <c r="H49" i="8" a="1"/>
  <c r="H49" i="8" s="1"/>
  <c r="I49" i="8" a="1"/>
  <c r="I49" i="8" s="1"/>
  <c r="D49" i="8" a="1"/>
  <c r="D49" i="8" s="1"/>
  <c r="V83" i="8" a="1"/>
  <c r="V83" i="8" s="1"/>
  <c r="P83" i="8" a="1"/>
  <c r="P83" i="8" s="1"/>
  <c r="J83" i="8" a="1"/>
  <c r="J83" i="8" s="1"/>
  <c r="D83" i="8" a="1"/>
  <c r="D83" i="8" s="1"/>
  <c r="U83" i="8" a="1"/>
  <c r="U83" i="8" s="1"/>
  <c r="O83" i="8" a="1"/>
  <c r="O83" i="8" s="1"/>
  <c r="I83" i="8" a="1"/>
  <c r="I83" i="8" s="1"/>
  <c r="C83" i="8" a="1"/>
  <c r="C83" i="8" s="1"/>
  <c r="S83" i="8" a="1"/>
  <c r="S83" i="8" s="1"/>
  <c r="M83" i="8" a="1"/>
  <c r="M83" i="8" s="1"/>
  <c r="G83" i="8" a="1"/>
  <c r="G83" i="8" s="1"/>
  <c r="R83" i="8" a="1"/>
  <c r="R83" i="8" s="1"/>
  <c r="L83" i="8" a="1"/>
  <c r="L83" i="8" s="1"/>
  <c r="F83" i="8" a="1"/>
  <c r="F83" i="8" s="1"/>
  <c r="B83" i="8" a="1"/>
  <c r="B83" i="8" s="1"/>
  <c r="A83" i="8" s="1"/>
  <c r="W83" i="8" s="1"/>
  <c r="T83" i="8" a="1"/>
  <c r="T83" i="8" s="1"/>
  <c r="Q83" i="8" a="1"/>
  <c r="Q83" i="8" s="1"/>
  <c r="N83" i="8" a="1"/>
  <c r="N83" i="8" s="1"/>
  <c r="K83" i="8" a="1"/>
  <c r="K83" i="8" s="1"/>
  <c r="H83" i="8" a="1"/>
  <c r="H83" i="8" s="1"/>
  <c r="E83" i="8" a="1"/>
  <c r="E83" i="8" s="1"/>
  <c r="T71" i="8" a="1"/>
  <c r="T71" i="8" s="1"/>
  <c r="N71" i="8" a="1"/>
  <c r="N71" i="8" s="1"/>
  <c r="H71" i="8" a="1"/>
  <c r="H71" i="8" s="1"/>
  <c r="B71" i="8" a="1"/>
  <c r="B71" i="8" s="1"/>
  <c r="A71" i="8" s="1"/>
  <c r="W71" i="8" s="1"/>
  <c r="S71" i="8" a="1"/>
  <c r="S71" i="8" s="1"/>
  <c r="M71" i="8" a="1"/>
  <c r="M71" i="8" s="1"/>
  <c r="G71" i="8" a="1"/>
  <c r="G71" i="8" s="1"/>
  <c r="R71" i="8" a="1"/>
  <c r="R71" i="8" s="1"/>
  <c r="L71" i="8" a="1"/>
  <c r="L71" i="8" s="1"/>
  <c r="F71" i="8" a="1"/>
  <c r="F71" i="8" s="1"/>
  <c r="Q71" i="8" a="1"/>
  <c r="Q71" i="8" s="1"/>
  <c r="K71" i="8" a="1"/>
  <c r="K71" i="8" s="1"/>
  <c r="E71" i="8" a="1"/>
  <c r="E71" i="8" s="1"/>
  <c r="V71" i="8" a="1"/>
  <c r="V71" i="8" s="1"/>
  <c r="P71" i="8" a="1"/>
  <c r="P71" i="8" s="1"/>
  <c r="J71" i="8" a="1"/>
  <c r="J71" i="8" s="1"/>
  <c r="D71" i="8" a="1"/>
  <c r="D71" i="8" s="1"/>
  <c r="U71" i="8" a="1"/>
  <c r="U71" i="8" s="1"/>
  <c r="O71" i="8" a="1"/>
  <c r="O71" i="8" s="1"/>
  <c r="I71" i="8" a="1"/>
  <c r="I71" i="8" s="1"/>
  <c r="C71" i="8" a="1"/>
  <c r="C71" i="8" s="1"/>
  <c r="V95" i="8" a="1"/>
  <c r="V95" i="8" s="1"/>
  <c r="P95" i="8" a="1"/>
  <c r="P95" i="8" s="1"/>
  <c r="J95" i="8" a="1"/>
  <c r="J95" i="8" s="1"/>
  <c r="D95" i="8" a="1"/>
  <c r="D95" i="8" s="1"/>
  <c r="U95" i="8" a="1"/>
  <c r="U95" i="8" s="1"/>
  <c r="O95" i="8" a="1"/>
  <c r="O95" i="8" s="1"/>
  <c r="I95" i="8" a="1"/>
  <c r="I95" i="8" s="1"/>
  <c r="C95" i="8" a="1"/>
  <c r="C95" i="8" s="1"/>
  <c r="T95" i="8" a="1"/>
  <c r="T95" i="8" s="1"/>
  <c r="N95" i="8" a="1"/>
  <c r="N95" i="8" s="1"/>
  <c r="H95" i="8" a="1"/>
  <c r="H95" i="8" s="1"/>
  <c r="B95" i="8" a="1"/>
  <c r="B95" i="8" s="1"/>
  <c r="A95" i="8" s="1"/>
  <c r="W95" i="8" s="1"/>
  <c r="S95" i="8" a="1"/>
  <c r="S95" i="8" s="1"/>
  <c r="M95" i="8" a="1"/>
  <c r="M95" i="8" s="1"/>
  <c r="G95" i="8" a="1"/>
  <c r="G95" i="8" s="1"/>
  <c r="R95" i="8" a="1"/>
  <c r="R95" i="8" s="1"/>
  <c r="L95" i="8" a="1"/>
  <c r="L95" i="8" s="1"/>
  <c r="F95" i="8" a="1"/>
  <c r="F95" i="8" s="1"/>
  <c r="E95" i="8" a="1"/>
  <c r="E95" i="8" s="1"/>
  <c r="Q95" i="8" a="1"/>
  <c r="Q95" i="8" s="1"/>
  <c r="K95" i="8" a="1"/>
  <c r="K95" i="8" s="1"/>
  <c r="T8" i="8" a="1"/>
  <c r="T8" i="8" s="1"/>
  <c r="N8" i="8" a="1"/>
  <c r="N8" i="8" s="1"/>
  <c r="S8" i="8" a="1"/>
  <c r="S8" i="8" s="1"/>
  <c r="M8" i="8" a="1"/>
  <c r="M8" i="8" s="1"/>
  <c r="G8" i="8" a="1"/>
  <c r="G8" i="8" s="1"/>
  <c r="Q8" i="8" a="1"/>
  <c r="Q8" i="8" s="1"/>
  <c r="K8" i="8" a="1"/>
  <c r="K8" i="8" s="1"/>
  <c r="E8" i="8" a="1"/>
  <c r="E8" i="8" s="1"/>
  <c r="V8" i="8" a="1"/>
  <c r="V8" i="8" s="1"/>
  <c r="L8" i="8" a="1"/>
  <c r="L8" i="8" s="1"/>
  <c r="C8" i="8" a="1"/>
  <c r="C8" i="8" s="1"/>
  <c r="B8" i="8" a="1"/>
  <c r="B8" i="8" s="1"/>
  <c r="U8" i="8" a="1"/>
  <c r="U8" i="8" s="1"/>
  <c r="J8" i="8" a="1"/>
  <c r="J8" i="8" s="1"/>
  <c r="D8" i="8" a="1"/>
  <c r="D8" i="8" s="1"/>
  <c r="I8" i="8" a="1"/>
  <c r="I8" i="8" s="1"/>
  <c r="R8" i="8" a="1"/>
  <c r="R8" i="8" s="1"/>
  <c r="H8" i="8" a="1"/>
  <c r="H8" i="8" s="1"/>
  <c r="P8" i="8" a="1"/>
  <c r="P8" i="8" s="1"/>
  <c r="F8" i="8" a="1"/>
  <c r="F8" i="8" s="1"/>
  <c r="O8" i="8" a="1"/>
  <c r="O8" i="8" s="1"/>
  <c r="T26" i="8" a="1"/>
  <c r="T26" i="8" s="1"/>
  <c r="N26" i="8" a="1"/>
  <c r="N26" i="8" s="1"/>
  <c r="H26" i="8" a="1"/>
  <c r="H26" i="8" s="1"/>
  <c r="B26" i="8" a="1"/>
  <c r="B26" i="8" s="1"/>
  <c r="R26" i="8" a="1"/>
  <c r="R26" i="8" s="1"/>
  <c r="L26" i="8" a="1"/>
  <c r="L26" i="8" s="1"/>
  <c r="F26" i="8" a="1"/>
  <c r="F26" i="8" s="1"/>
  <c r="V26" i="8" a="1"/>
  <c r="V26" i="8" s="1"/>
  <c r="P26" i="8" a="1"/>
  <c r="P26" i="8" s="1"/>
  <c r="J26" i="8" a="1"/>
  <c r="J26" i="8" s="1"/>
  <c r="D26" i="8" a="1"/>
  <c r="D26" i="8" s="1"/>
  <c r="U26" i="8" a="1"/>
  <c r="U26" i="8" s="1"/>
  <c r="K26" i="8" a="1"/>
  <c r="K26" i="8" s="1"/>
  <c r="S26" i="8" a="1"/>
  <c r="S26" i="8" s="1"/>
  <c r="I26" i="8" a="1"/>
  <c r="I26" i="8" s="1"/>
  <c r="G26" i="8" a="1"/>
  <c r="G26" i="8" s="1"/>
  <c r="Q26" i="8" a="1"/>
  <c r="Q26" i="8" s="1"/>
  <c r="M26" i="8" a="1"/>
  <c r="M26" i="8" s="1"/>
  <c r="E26" i="8" a="1"/>
  <c r="E26" i="8" s="1"/>
  <c r="C26" i="8" a="1"/>
  <c r="C26" i="8" s="1"/>
  <c r="O26" i="8" a="1"/>
  <c r="O26" i="8" s="1"/>
  <c r="V50" i="8" a="1"/>
  <c r="V50" i="8" s="1"/>
  <c r="P50" i="8" a="1"/>
  <c r="P50" i="8" s="1"/>
  <c r="J50" i="8" a="1"/>
  <c r="J50" i="8" s="1"/>
  <c r="D50" i="8" a="1"/>
  <c r="D50" i="8" s="1"/>
  <c r="U50" i="8" a="1"/>
  <c r="U50" i="8" s="1"/>
  <c r="O50" i="8" a="1"/>
  <c r="O50" i="8" s="1"/>
  <c r="I50" i="8" a="1"/>
  <c r="I50" i="8" s="1"/>
  <c r="C50" i="8" a="1"/>
  <c r="C50" i="8" s="1"/>
  <c r="T50" i="8" a="1"/>
  <c r="T50" i="8" s="1"/>
  <c r="N50" i="8" a="1"/>
  <c r="N50" i="8" s="1"/>
  <c r="H50" i="8" a="1"/>
  <c r="H50" i="8" s="1"/>
  <c r="B50" i="8" a="1"/>
  <c r="B50" i="8" s="1"/>
  <c r="A50" i="8" s="1"/>
  <c r="W50" i="8" s="1"/>
  <c r="S50" i="8" a="1"/>
  <c r="S50" i="8" s="1"/>
  <c r="M50" i="8" a="1"/>
  <c r="M50" i="8" s="1"/>
  <c r="G50" i="8" a="1"/>
  <c r="G50" i="8" s="1"/>
  <c r="E50" i="8" a="1"/>
  <c r="E50" i="8" s="1"/>
  <c r="R50" i="8" a="1"/>
  <c r="R50" i="8" s="1"/>
  <c r="Q50" i="8" a="1"/>
  <c r="Q50" i="8" s="1"/>
  <c r="L50" i="8" a="1"/>
  <c r="L50" i="8" s="1"/>
  <c r="F50" i="8" a="1"/>
  <c r="F50" i="8" s="1"/>
  <c r="K50" i="8" a="1"/>
  <c r="K50" i="8" s="1"/>
  <c r="Q18" i="8" a="1"/>
  <c r="Q18" i="8" s="1"/>
  <c r="K18" i="8" a="1"/>
  <c r="K18" i="8" s="1"/>
  <c r="E18" i="8" a="1"/>
  <c r="E18" i="8" s="1"/>
  <c r="V18" i="8" a="1"/>
  <c r="V18" i="8" s="1"/>
  <c r="P18" i="8" a="1"/>
  <c r="P18" i="8" s="1"/>
  <c r="J18" i="8" a="1"/>
  <c r="J18" i="8" s="1"/>
  <c r="D18" i="8" a="1"/>
  <c r="D18" i="8" s="1"/>
  <c r="U18" i="8" a="1"/>
  <c r="U18" i="8" s="1"/>
  <c r="O18" i="8" a="1"/>
  <c r="O18" i="8" s="1"/>
  <c r="I18" i="8" a="1"/>
  <c r="I18" i="8" s="1"/>
  <c r="C18" i="8" a="1"/>
  <c r="C18" i="8" s="1"/>
  <c r="T18" i="8" a="1"/>
  <c r="T18" i="8" s="1"/>
  <c r="N18" i="8" a="1"/>
  <c r="N18" i="8" s="1"/>
  <c r="H18" i="8" a="1"/>
  <c r="H18" i="8" s="1"/>
  <c r="B18" i="8" a="1"/>
  <c r="B18" i="8" s="1"/>
  <c r="S18" i="8" a="1"/>
  <c r="S18" i="8" s="1"/>
  <c r="M18" i="8" a="1"/>
  <c r="M18" i="8" s="1"/>
  <c r="G18" i="8" a="1"/>
  <c r="G18" i="8" s="1"/>
  <c r="R18" i="8" a="1"/>
  <c r="R18" i="8" s="1"/>
  <c r="L18" i="8" a="1"/>
  <c r="L18" i="8" s="1"/>
  <c r="F18" i="8" a="1"/>
  <c r="F18" i="8" s="1"/>
  <c r="V92" i="8" a="1"/>
  <c r="V92" i="8" s="1"/>
  <c r="P92" i="8" a="1"/>
  <c r="P92" i="8" s="1"/>
  <c r="J92" i="8" a="1"/>
  <c r="J92" i="8" s="1"/>
  <c r="D92" i="8" a="1"/>
  <c r="D92" i="8" s="1"/>
  <c r="U92" i="8" a="1"/>
  <c r="U92" i="8" s="1"/>
  <c r="O92" i="8" a="1"/>
  <c r="O92" i="8" s="1"/>
  <c r="I92" i="8" a="1"/>
  <c r="I92" i="8" s="1"/>
  <c r="C92" i="8" a="1"/>
  <c r="C92" i="8" s="1"/>
  <c r="T92" i="8" a="1"/>
  <c r="T92" i="8" s="1"/>
  <c r="N92" i="8" a="1"/>
  <c r="N92" i="8" s="1"/>
  <c r="H92" i="8" a="1"/>
  <c r="H92" i="8" s="1"/>
  <c r="B92" i="8" a="1"/>
  <c r="B92" i="8" s="1"/>
  <c r="A92" i="8" s="1"/>
  <c r="W92" i="8" s="1"/>
  <c r="S92" i="8" a="1"/>
  <c r="S92" i="8" s="1"/>
  <c r="M92" i="8" a="1"/>
  <c r="M92" i="8" s="1"/>
  <c r="G92" i="8" a="1"/>
  <c r="G92" i="8" s="1"/>
  <c r="R92" i="8" a="1"/>
  <c r="R92" i="8" s="1"/>
  <c r="L92" i="8" a="1"/>
  <c r="L92" i="8" s="1"/>
  <c r="F92" i="8" a="1"/>
  <c r="F92" i="8" s="1"/>
  <c r="Q92" i="8" a="1"/>
  <c r="Q92" i="8" s="1"/>
  <c r="K92" i="8" a="1"/>
  <c r="K92" i="8" s="1"/>
  <c r="E92" i="8" a="1"/>
  <c r="E92" i="8" s="1"/>
  <c r="T91" i="8" a="1"/>
  <c r="T91" i="8" s="1"/>
  <c r="N91" i="8" a="1"/>
  <c r="N91" i="8" s="1"/>
  <c r="H91" i="8" a="1"/>
  <c r="H91" i="8" s="1"/>
  <c r="B91" i="8" a="1"/>
  <c r="B91" i="8" s="1"/>
  <c r="A91" i="8" s="1"/>
  <c r="W91" i="8" s="1"/>
  <c r="S91" i="8" a="1"/>
  <c r="S91" i="8" s="1"/>
  <c r="M91" i="8" a="1"/>
  <c r="M91" i="8" s="1"/>
  <c r="G91" i="8" a="1"/>
  <c r="G91" i="8" s="1"/>
  <c r="R91" i="8" a="1"/>
  <c r="R91" i="8" s="1"/>
  <c r="L91" i="8" a="1"/>
  <c r="L91" i="8" s="1"/>
  <c r="F91" i="8" a="1"/>
  <c r="F91" i="8" s="1"/>
  <c r="Q91" i="8" a="1"/>
  <c r="Q91" i="8" s="1"/>
  <c r="K91" i="8" a="1"/>
  <c r="K91" i="8" s="1"/>
  <c r="E91" i="8" a="1"/>
  <c r="E91" i="8" s="1"/>
  <c r="V91" i="8" a="1"/>
  <c r="V91" i="8" s="1"/>
  <c r="P91" i="8" a="1"/>
  <c r="P91" i="8" s="1"/>
  <c r="J91" i="8" a="1"/>
  <c r="J91" i="8" s="1"/>
  <c r="D91" i="8" a="1"/>
  <c r="D91" i="8" s="1"/>
  <c r="U91" i="8" a="1"/>
  <c r="U91" i="8" s="1"/>
  <c r="O91" i="8" a="1"/>
  <c r="O91" i="8" s="1"/>
  <c r="I91" i="8" a="1"/>
  <c r="I91" i="8" s="1"/>
  <c r="C91" i="8" a="1"/>
  <c r="C91" i="8" s="1"/>
  <c r="S79" i="8" a="1"/>
  <c r="S79" i="8" s="1"/>
  <c r="P79" i="8" a="1"/>
  <c r="P79" i="8" s="1"/>
  <c r="D79" i="8" a="1"/>
  <c r="D79" i="8" s="1"/>
  <c r="O79" i="8" a="1"/>
  <c r="O79" i="8" s="1"/>
  <c r="C79" i="8" a="1"/>
  <c r="C79" i="8" s="1"/>
  <c r="N79" i="8" a="1"/>
  <c r="N79" i="8" s="1"/>
  <c r="B79" i="8" a="1"/>
  <c r="B79" i="8" s="1"/>
  <c r="A79" i="8" s="1"/>
  <c r="W79" i="8" s="1"/>
  <c r="M79" i="8" a="1"/>
  <c r="M79" i="8" s="1"/>
  <c r="L79" i="8" a="1"/>
  <c r="L79" i="8" s="1"/>
  <c r="K79" i="8" a="1"/>
  <c r="K79" i="8" s="1"/>
  <c r="J79" i="8" a="1"/>
  <c r="J79" i="8" s="1"/>
  <c r="V79" i="8" a="1"/>
  <c r="V79" i="8" s="1"/>
  <c r="I79" i="8" a="1"/>
  <c r="I79" i="8" s="1"/>
  <c r="U79" i="8" a="1"/>
  <c r="U79" i="8" s="1"/>
  <c r="H79" i="8" a="1"/>
  <c r="H79" i="8" s="1"/>
  <c r="T79" i="8" a="1"/>
  <c r="T79" i="8" s="1"/>
  <c r="G79" i="8" a="1"/>
  <c r="G79" i="8" s="1"/>
  <c r="R79" i="8" a="1"/>
  <c r="R79" i="8" s="1"/>
  <c r="F79" i="8" a="1"/>
  <c r="F79" i="8" s="1"/>
  <c r="E79" i="8" a="1"/>
  <c r="E79" i="8" s="1"/>
  <c r="Q79" i="8" a="1"/>
  <c r="Q79" i="8" s="1"/>
  <c r="R67" i="8" a="1"/>
  <c r="R67" i="8" s="1"/>
  <c r="L67" i="8" a="1"/>
  <c r="L67" i="8" s="1"/>
  <c r="F67" i="8" a="1"/>
  <c r="F67" i="8" s="1"/>
  <c r="Q67" i="8" a="1"/>
  <c r="Q67" i="8" s="1"/>
  <c r="K67" i="8" a="1"/>
  <c r="K67" i="8" s="1"/>
  <c r="E67" i="8" a="1"/>
  <c r="E67" i="8" s="1"/>
  <c r="U67" i="8" a="1"/>
  <c r="U67" i="8" s="1"/>
  <c r="O67" i="8" a="1"/>
  <c r="O67" i="8" s="1"/>
  <c r="I67" i="8" a="1"/>
  <c r="I67" i="8" s="1"/>
  <c r="C67" i="8" a="1"/>
  <c r="C67" i="8" s="1"/>
  <c r="T67" i="8" a="1"/>
  <c r="T67" i="8" s="1"/>
  <c r="N67" i="8" a="1"/>
  <c r="N67" i="8" s="1"/>
  <c r="H67" i="8" a="1"/>
  <c r="H67" i="8" s="1"/>
  <c r="B67" i="8" a="1"/>
  <c r="B67" i="8" s="1"/>
  <c r="A67" i="8" s="1"/>
  <c r="W67" i="8" s="1"/>
  <c r="D67" i="8" a="1"/>
  <c r="D67" i="8" s="1"/>
  <c r="V67" i="8" a="1"/>
  <c r="V67" i="8" s="1"/>
  <c r="S67" i="8" a="1"/>
  <c r="S67" i="8" s="1"/>
  <c r="P67" i="8" a="1"/>
  <c r="P67" i="8" s="1"/>
  <c r="M67" i="8" a="1"/>
  <c r="M67" i="8" s="1"/>
  <c r="G67" i="8" a="1"/>
  <c r="G67" i="8" s="1"/>
  <c r="J67" i="8" a="1"/>
  <c r="J67" i="8" s="1"/>
  <c r="R10" i="8" a="1"/>
  <c r="R10" i="8" s="1"/>
  <c r="L10" i="8" a="1"/>
  <c r="L10" i="8" s="1"/>
  <c r="F10" i="8" a="1"/>
  <c r="F10" i="8" s="1"/>
  <c r="Q10" i="8" a="1"/>
  <c r="Q10" i="8" s="1"/>
  <c r="K10" i="8" a="1"/>
  <c r="K10" i="8" s="1"/>
  <c r="E10" i="8" a="1"/>
  <c r="E10" i="8" s="1"/>
  <c r="U10" i="8" a="1"/>
  <c r="U10" i="8" s="1"/>
  <c r="O10" i="8" a="1"/>
  <c r="O10" i="8" s="1"/>
  <c r="I10" i="8" a="1"/>
  <c r="I10" i="8" s="1"/>
  <c r="C10" i="8" a="1"/>
  <c r="C10" i="8" s="1"/>
  <c r="T10" i="8" a="1"/>
  <c r="T10" i="8" s="1"/>
  <c r="J10" i="8" a="1"/>
  <c r="J10" i="8" s="1"/>
  <c r="S10" i="8" a="1"/>
  <c r="S10" i="8" s="1"/>
  <c r="H10" i="8" a="1"/>
  <c r="H10" i="8" s="1"/>
  <c r="G10" i="8" a="1"/>
  <c r="G10" i="8" s="1"/>
  <c r="P10" i="8" a="1"/>
  <c r="P10" i="8" s="1"/>
  <c r="N10" i="8" a="1"/>
  <c r="N10" i="8" s="1"/>
  <c r="D10" i="8" a="1"/>
  <c r="D10" i="8" s="1"/>
  <c r="M10" i="8" a="1"/>
  <c r="M10" i="8" s="1"/>
  <c r="B10" i="8" a="1"/>
  <c r="B10" i="8" s="1"/>
  <c r="V10" i="8" a="1"/>
  <c r="V10" i="8" s="1"/>
  <c r="U23" i="8" a="1"/>
  <c r="U23" i="8" s="1"/>
  <c r="O23" i="8" a="1"/>
  <c r="O23" i="8" s="1"/>
  <c r="I23" i="8" a="1"/>
  <c r="I23" i="8" s="1"/>
  <c r="C23" i="8" a="1"/>
  <c r="C23" i="8" s="1"/>
  <c r="T23" i="8" a="1"/>
  <c r="T23" i="8" s="1"/>
  <c r="N23" i="8" a="1"/>
  <c r="N23" i="8" s="1"/>
  <c r="H23" i="8" a="1"/>
  <c r="H23" i="8" s="1"/>
  <c r="B23" i="8" a="1"/>
  <c r="B23" i="8" s="1"/>
  <c r="S23" i="8" a="1"/>
  <c r="S23" i="8" s="1"/>
  <c r="M23" i="8" a="1"/>
  <c r="M23" i="8" s="1"/>
  <c r="G23" i="8" a="1"/>
  <c r="G23" i="8" s="1"/>
  <c r="R23" i="8" a="1"/>
  <c r="R23" i="8" s="1"/>
  <c r="L23" i="8" a="1"/>
  <c r="L23" i="8" s="1"/>
  <c r="F23" i="8" a="1"/>
  <c r="F23" i="8" s="1"/>
  <c r="Q23" i="8" a="1"/>
  <c r="Q23" i="8" s="1"/>
  <c r="K23" i="8" a="1"/>
  <c r="K23" i="8" s="1"/>
  <c r="E23" i="8" a="1"/>
  <c r="E23" i="8" s="1"/>
  <c r="V23" i="8" a="1"/>
  <c r="V23" i="8" s="1"/>
  <c r="P23" i="8" a="1"/>
  <c r="P23" i="8" s="1"/>
  <c r="J23" i="8" a="1"/>
  <c r="J23" i="8" s="1"/>
  <c r="D23" i="8" a="1"/>
  <c r="D23" i="8" s="1"/>
  <c r="V27" i="8" a="1"/>
  <c r="V27" i="8" s="1"/>
  <c r="P27" i="8" a="1"/>
  <c r="P27" i="8" s="1"/>
  <c r="J27" i="8" a="1"/>
  <c r="J27" i="8" s="1"/>
  <c r="D27" i="8" a="1"/>
  <c r="D27" i="8" s="1"/>
  <c r="T27" i="8" a="1"/>
  <c r="T27" i="8" s="1"/>
  <c r="N27" i="8" a="1"/>
  <c r="N27" i="8" s="1"/>
  <c r="H27" i="8" a="1"/>
  <c r="H27" i="8" s="1"/>
  <c r="B27" i="8" a="1"/>
  <c r="B27" i="8" s="1"/>
  <c r="R27" i="8" a="1"/>
  <c r="R27" i="8" s="1"/>
  <c r="L27" i="8" a="1"/>
  <c r="L27" i="8" s="1"/>
  <c r="F27" i="8" a="1"/>
  <c r="F27" i="8" s="1"/>
  <c r="U27" i="8" a="1"/>
  <c r="U27" i="8" s="1"/>
  <c r="K27" i="8" a="1"/>
  <c r="K27" i="8" s="1"/>
  <c r="I27" i="8" a="1"/>
  <c r="I27" i="8" s="1"/>
  <c r="S27" i="8" a="1"/>
  <c r="S27" i="8" s="1"/>
  <c r="Q27" i="8" a="1"/>
  <c r="Q27" i="8" s="1"/>
  <c r="G27" i="8" a="1"/>
  <c r="G27" i="8" s="1"/>
  <c r="O27" i="8" a="1"/>
  <c r="O27" i="8" s="1"/>
  <c r="E27" i="8" a="1"/>
  <c r="E27" i="8" s="1"/>
  <c r="M27" i="8" a="1"/>
  <c r="M27" i="8" s="1"/>
  <c r="C27" i="8" a="1"/>
  <c r="C27" i="8" s="1"/>
  <c r="V45" i="8" a="1"/>
  <c r="V45" i="8" s="1"/>
  <c r="P45" i="8" a="1"/>
  <c r="P45" i="8" s="1"/>
  <c r="J45" i="8" a="1"/>
  <c r="J45" i="8" s="1"/>
  <c r="F45" i="8" a="1"/>
  <c r="F45" i="8" s="1"/>
  <c r="N45" i="8" a="1"/>
  <c r="N45" i="8" s="1"/>
  <c r="E45" i="8" a="1"/>
  <c r="E45" i="8" s="1"/>
  <c r="U45" i="8" a="1"/>
  <c r="U45" i="8" s="1"/>
  <c r="M45" i="8" a="1"/>
  <c r="M45" i="8" s="1"/>
  <c r="D45" i="8" a="1"/>
  <c r="D45" i="8" s="1"/>
  <c r="L45" i="8" a="1"/>
  <c r="L45" i="8" s="1"/>
  <c r="C45" i="8" a="1"/>
  <c r="C45" i="8" s="1"/>
  <c r="T45" i="8" a="1"/>
  <c r="T45" i="8" s="1"/>
  <c r="K45" i="8" a="1"/>
  <c r="K45" i="8" s="1"/>
  <c r="B45" i="8" a="1"/>
  <c r="B45" i="8" s="1"/>
  <c r="A45" i="8" s="1"/>
  <c r="W45" i="8" s="1"/>
  <c r="S45" i="8" a="1"/>
  <c r="S45" i="8" s="1"/>
  <c r="I45" i="8" a="1"/>
  <c r="I45" i="8" s="1"/>
  <c r="R45" i="8" a="1"/>
  <c r="R45" i="8" s="1"/>
  <c r="Q45" i="8" a="1"/>
  <c r="Q45" i="8" s="1"/>
  <c r="O45" i="8" a="1"/>
  <c r="O45" i="8" s="1"/>
  <c r="H45" i="8" a="1"/>
  <c r="H45" i="8" s="1"/>
  <c r="G45" i="8" a="1"/>
  <c r="G45" i="8" s="1"/>
  <c r="R4" i="8" a="1"/>
  <c r="R4" i="8" s="1"/>
  <c r="Q4" i="8" a="1"/>
  <c r="Q4" i="8" s="1"/>
  <c r="K4" i="8" a="1"/>
  <c r="K4" i="8" s="1"/>
  <c r="E4" i="8" a="1"/>
  <c r="E4" i="8" s="1"/>
  <c r="V4" i="8" a="1"/>
  <c r="V4" i="8" s="1"/>
  <c r="P4" i="8" a="1"/>
  <c r="P4" i="8" s="1"/>
  <c r="J4" i="8" a="1"/>
  <c r="J4" i="8" s="1"/>
  <c r="D4" i="8" a="1"/>
  <c r="D4" i="8" s="1"/>
  <c r="U4" i="8" a="1"/>
  <c r="U4" i="8" s="1"/>
  <c r="O4" i="8" a="1"/>
  <c r="O4" i="8" s="1"/>
  <c r="I4" i="8" a="1"/>
  <c r="I4" i="8" s="1"/>
  <c r="C4" i="8" a="1"/>
  <c r="C4" i="8" s="1"/>
  <c r="T4" i="8" a="1"/>
  <c r="T4" i="8" s="1"/>
  <c r="N4" i="8" a="1"/>
  <c r="N4" i="8" s="1"/>
  <c r="H4" i="8" a="1"/>
  <c r="H4" i="8" s="1"/>
  <c r="B4" i="8" a="1"/>
  <c r="B4" i="8" s="1"/>
  <c r="A4" i="8" s="1"/>
  <c r="W4" i="8" s="1"/>
  <c r="S4" i="8" a="1"/>
  <c r="S4" i="8" s="1"/>
  <c r="M4" i="8" a="1"/>
  <c r="M4" i="8" s="1"/>
  <c r="G4" i="8" a="1"/>
  <c r="G4" i="8" s="1"/>
  <c r="V36" i="8" a="1"/>
  <c r="V36" i="8" s="1"/>
  <c r="P36" i="8" a="1"/>
  <c r="P36" i="8" s="1"/>
  <c r="J36" i="8" a="1"/>
  <c r="J36" i="8" s="1"/>
  <c r="D36" i="8" a="1"/>
  <c r="D36" i="8" s="1"/>
  <c r="U36" i="8" a="1"/>
  <c r="U36" i="8" s="1"/>
  <c r="O36" i="8" a="1"/>
  <c r="O36" i="8" s="1"/>
  <c r="I36" i="8" a="1"/>
  <c r="I36" i="8" s="1"/>
  <c r="C36" i="8" a="1"/>
  <c r="C36" i="8" s="1"/>
  <c r="T36" i="8" a="1"/>
  <c r="T36" i="8" s="1"/>
  <c r="N36" i="8" a="1"/>
  <c r="N36" i="8" s="1"/>
  <c r="H36" i="8" a="1"/>
  <c r="H36" i="8" s="1"/>
  <c r="B36" i="8" a="1"/>
  <c r="B36" i="8" s="1"/>
  <c r="A36" i="8" s="1"/>
  <c r="W36" i="8" s="1"/>
  <c r="S36" i="8" a="1"/>
  <c r="S36" i="8" s="1"/>
  <c r="M36" i="8" a="1"/>
  <c r="M36" i="8" s="1"/>
  <c r="G36" i="8" a="1"/>
  <c r="G36" i="8" s="1"/>
  <c r="R36" i="8" a="1"/>
  <c r="R36" i="8" s="1"/>
  <c r="L36" i="8" a="1"/>
  <c r="L36" i="8" s="1"/>
  <c r="F36" i="8" a="1"/>
  <c r="F36" i="8" s="1"/>
  <c r="Q36" i="8" a="1"/>
  <c r="Q36" i="8" s="1"/>
  <c r="K36" i="8" a="1"/>
  <c r="K36" i="8" s="1"/>
  <c r="E36" i="8" a="1"/>
  <c r="E36" i="8" s="1"/>
  <c r="T100" i="8" a="1"/>
  <c r="T100" i="8" s="1"/>
  <c r="N100" i="8" a="1"/>
  <c r="N100" i="8" s="1"/>
  <c r="H100" i="8" a="1"/>
  <c r="H100" i="8" s="1"/>
  <c r="B100" i="8" a="1"/>
  <c r="B100" i="8" s="1"/>
  <c r="A100" i="8" s="1"/>
  <c r="W100" i="8" s="1"/>
  <c r="S100" i="8" a="1"/>
  <c r="S100" i="8" s="1"/>
  <c r="M100" i="8" a="1"/>
  <c r="M100" i="8" s="1"/>
  <c r="G100" i="8" a="1"/>
  <c r="G100" i="8" s="1"/>
  <c r="R100" i="8" a="1"/>
  <c r="R100" i="8" s="1"/>
  <c r="L100" i="8" a="1"/>
  <c r="L100" i="8" s="1"/>
  <c r="F100" i="8" a="1"/>
  <c r="F100" i="8" s="1"/>
  <c r="Q100" i="8" a="1"/>
  <c r="Q100" i="8" s="1"/>
  <c r="K100" i="8" a="1"/>
  <c r="K100" i="8" s="1"/>
  <c r="E100" i="8" a="1"/>
  <c r="E100" i="8" s="1"/>
  <c r="V100" i="8" a="1"/>
  <c r="V100" i="8" s="1"/>
  <c r="P100" i="8" a="1"/>
  <c r="P100" i="8" s="1"/>
  <c r="J100" i="8" a="1"/>
  <c r="J100" i="8" s="1"/>
  <c r="D100" i="8" a="1"/>
  <c r="D100" i="8" s="1"/>
  <c r="U100" i="8" a="1"/>
  <c r="U100" i="8" s="1"/>
  <c r="O100" i="8" a="1"/>
  <c r="O100" i="8" s="1"/>
  <c r="I100" i="8" a="1"/>
  <c r="I100" i="8" s="1"/>
  <c r="C100" i="8" a="1"/>
  <c r="C100" i="8" s="1"/>
  <c r="R87" i="8" a="1"/>
  <c r="R87" i="8" s="1"/>
  <c r="L87" i="8" a="1"/>
  <c r="L87" i="8" s="1"/>
  <c r="F87" i="8" a="1"/>
  <c r="F87" i="8" s="1"/>
  <c r="Q87" i="8" a="1"/>
  <c r="Q87" i="8" s="1"/>
  <c r="K87" i="8" a="1"/>
  <c r="K87" i="8" s="1"/>
  <c r="E87" i="8" a="1"/>
  <c r="E87" i="8" s="1"/>
  <c r="V87" i="8" a="1"/>
  <c r="V87" i="8" s="1"/>
  <c r="P87" i="8" a="1"/>
  <c r="P87" i="8" s="1"/>
  <c r="J87" i="8" a="1"/>
  <c r="J87" i="8" s="1"/>
  <c r="U87" i="8" a="1"/>
  <c r="U87" i="8" s="1"/>
  <c r="O87" i="8" a="1"/>
  <c r="O87" i="8" s="1"/>
  <c r="I87" i="8" a="1"/>
  <c r="I87" i="8" s="1"/>
  <c r="C87" i="8" a="1"/>
  <c r="C87" i="8" s="1"/>
  <c r="T87" i="8" a="1"/>
  <c r="T87" i="8" s="1"/>
  <c r="N87" i="8" a="1"/>
  <c r="N87" i="8" s="1"/>
  <c r="H87" i="8" a="1"/>
  <c r="H87" i="8" s="1"/>
  <c r="B87" i="8" a="1"/>
  <c r="B87" i="8" s="1"/>
  <c r="A87" i="8" s="1"/>
  <c r="W87" i="8" s="1"/>
  <c r="S87" i="8" a="1"/>
  <c r="S87" i="8" s="1"/>
  <c r="M87" i="8" a="1"/>
  <c r="M87" i="8" s="1"/>
  <c r="G87" i="8" a="1"/>
  <c r="G87" i="8" s="1"/>
  <c r="D87" i="8" a="1"/>
  <c r="D87" i="8" s="1"/>
  <c r="V75" i="8" a="1"/>
  <c r="V75" i="8" s="1"/>
  <c r="P75" i="8" a="1"/>
  <c r="P75" i="8" s="1"/>
  <c r="J75" i="8" a="1"/>
  <c r="J75" i="8" s="1"/>
  <c r="D75" i="8" a="1"/>
  <c r="D75" i="8" s="1"/>
  <c r="U75" i="8" a="1"/>
  <c r="U75" i="8" s="1"/>
  <c r="O75" i="8" a="1"/>
  <c r="O75" i="8" s="1"/>
  <c r="I75" i="8" a="1"/>
  <c r="I75" i="8" s="1"/>
  <c r="C75" i="8" a="1"/>
  <c r="C75" i="8" s="1"/>
  <c r="T75" i="8" a="1"/>
  <c r="T75" i="8" s="1"/>
  <c r="N75" i="8" a="1"/>
  <c r="N75" i="8" s="1"/>
  <c r="H75" i="8" a="1"/>
  <c r="H75" i="8" s="1"/>
  <c r="B75" i="8" a="1"/>
  <c r="B75" i="8" s="1"/>
  <c r="A75" i="8" s="1"/>
  <c r="W75" i="8" s="1"/>
  <c r="S75" i="8" a="1"/>
  <c r="S75" i="8" s="1"/>
  <c r="M75" i="8" a="1"/>
  <c r="M75" i="8" s="1"/>
  <c r="G75" i="8" a="1"/>
  <c r="G75" i="8" s="1"/>
  <c r="R75" i="8" a="1"/>
  <c r="R75" i="8" s="1"/>
  <c r="L75" i="8" a="1"/>
  <c r="L75" i="8" s="1"/>
  <c r="F75" i="8" a="1"/>
  <c r="F75" i="8" s="1"/>
  <c r="K75" i="8" a="1"/>
  <c r="K75" i="8" s="1"/>
  <c r="E75" i="8" a="1"/>
  <c r="E75" i="8" s="1"/>
  <c r="Q75" i="8" a="1"/>
  <c r="Q75" i="8" s="1"/>
  <c r="R99" i="8" a="1"/>
  <c r="R99" i="8" s="1"/>
  <c r="L99" i="8" a="1"/>
  <c r="L99" i="8" s="1"/>
  <c r="F99" i="8" a="1"/>
  <c r="F99" i="8" s="1"/>
  <c r="Q99" i="8" a="1"/>
  <c r="Q99" i="8" s="1"/>
  <c r="K99" i="8" a="1"/>
  <c r="K99" i="8" s="1"/>
  <c r="E99" i="8" a="1"/>
  <c r="E99" i="8" s="1"/>
  <c r="V99" i="8" a="1"/>
  <c r="V99" i="8" s="1"/>
  <c r="P99" i="8" a="1"/>
  <c r="P99" i="8" s="1"/>
  <c r="J99" i="8" a="1"/>
  <c r="J99" i="8" s="1"/>
  <c r="D99" i="8" a="1"/>
  <c r="D99" i="8" s="1"/>
  <c r="U99" i="8" a="1"/>
  <c r="U99" i="8" s="1"/>
  <c r="O99" i="8" a="1"/>
  <c r="O99" i="8" s="1"/>
  <c r="I99" i="8" a="1"/>
  <c r="I99" i="8" s="1"/>
  <c r="C99" i="8" a="1"/>
  <c r="C99" i="8" s="1"/>
  <c r="T99" i="8" a="1"/>
  <c r="T99" i="8" s="1"/>
  <c r="N99" i="8" a="1"/>
  <c r="N99" i="8" s="1"/>
  <c r="H99" i="8" a="1"/>
  <c r="H99" i="8" s="1"/>
  <c r="B99" i="8" a="1"/>
  <c r="B99" i="8" s="1"/>
  <c r="A99" i="8" s="1"/>
  <c r="W99" i="8" s="1"/>
  <c r="S99" i="8" a="1"/>
  <c r="S99" i="8" s="1"/>
  <c r="M99" i="8" a="1"/>
  <c r="M99" i="8" s="1"/>
  <c r="G99" i="8" a="1"/>
  <c r="G99" i="8" s="1"/>
  <c r="A5" i="8" l="1"/>
  <c r="W5" i="8" s="1"/>
  <c r="A6" i="8" l="1"/>
  <c r="W6" i="8" s="1"/>
  <c r="A7" i="8" l="1"/>
  <c r="W7" i="8" s="1"/>
  <c r="A8" i="8" l="1"/>
  <c r="W8" i="8" s="1"/>
  <c r="A9" i="8" l="1"/>
  <c r="W9" i="8" s="1"/>
  <c r="A10" i="8" l="1"/>
  <c r="W10" i="8" s="1"/>
  <c r="A11" i="8" l="1"/>
  <c r="W11" i="8" s="1"/>
  <c r="A12" i="8"/>
  <c r="W12" i="8" l="1"/>
  <c r="A13" i="8"/>
  <c r="W13" i="8" l="1"/>
  <c r="A14" i="8"/>
  <c r="W14" i="8" l="1"/>
  <c r="A15" i="8"/>
  <c r="W15" i="8" l="1"/>
  <c r="A16" i="8"/>
  <c r="W16" i="8" l="1"/>
  <c r="A17" i="8"/>
  <c r="W17" i="8" l="1"/>
  <c r="A18" i="8"/>
  <c r="W18" i="8" l="1"/>
  <c r="A19" i="8"/>
  <c r="W19" i="8" l="1"/>
  <c r="A20" i="8"/>
  <c r="W20" i="8" l="1"/>
  <c r="A21" i="8"/>
  <c r="W21" i="8" l="1"/>
  <c r="A22" i="8"/>
  <c r="W22" i="8" l="1"/>
  <c r="A23" i="8"/>
  <c r="W23" i="8" l="1"/>
  <c r="A24" i="8"/>
  <c r="W24" i="8" l="1"/>
  <c r="A25" i="8"/>
  <c r="W25" i="8" l="1"/>
  <c r="A26" i="8"/>
  <c r="W26" i="8" l="1"/>
  <c r="A27" i="8"/>
  <c r="W27" i="8" l="1"/>
  <c r="A28" i="8"/>
  <c r="W28" i="8" l="1"/>
  <c r="A29" i="8"/>
  <c r="W29" i="8" l="1"/>
  <c r="A30" i="8"/>
  <c r="W30" i="8" l="1"/>
  <c r="A31" i="8"/>
  <c r="W31" i="8" l="1"/>
  <c r="A32" i="8"/>
  <c r="W32" i="8" l="1"/>
  <c r="A33" i="8"/>
  <c r="W33" i="8" l="1"/>
  <c r="A34" i="8"/>
  <c r="W34" i="8" l="1"/>
  <c r="A35" i="8"/>
  <c r="W35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<sst xmlns="http://schemas.openxmlformats.org/spreadsheetml/2006/main" count="640" uniqueCount="283">
  <si>
    <t>No.</t>
  </si>
  <si>
    <t>Ref</t>
  </si>
  <si>
    <t>Name</t>
  </si>
  <si>
    <t>Address</t>
  </si>
  <si>
    <t>Tax ID</t>
  </si>
  <si>
    <t>Form</t>
  </si>
  <si>
    <t>Type</t>
  </si>
  <si>
    <t>pay date</t>
  </si>
  <si>
    <t>Amount</t>
  </si>
  <si>
    <t>Tax rate</t>
  </si>
  <si>
    <t>WHT</t>
  </si>
  <si>
    <t>ค่าบริการ</t>
  </si>
  <si>
    <t>ค่าขนส่ง</t>
  </si>
  <si>
    <t>ค่าเช่า</t>
  </si>
  <si>
    <t>ค่าโฆษณา</t>
  </si>
  <si>
    <t>ฉบับที่ 1 (สำหรับผู้ถูกหักภาษี ณ ที่จ่าย ใช้แนบพร้อมแบบแสดงรายการภาษี )</t>
  </si>
  <si>
    <t xml:space="preserve"> </t>
  </si>
  <si>
    <t xml:space="preserve">*หนังสือรับรองการหักภาษี ณ ที่จ่าย ตามมาตรา 50 ทวิ แห่งประมวลรัษฎากร                                                    </t>
  </si>
  <si>
    <t>เลขที่  :</t>
  </si>
  <si>
    <r>
      <t xml:space="preserve">ผู้มีหน้าที่หักภาษี ณ ที่จ่าย </t>
    </r>
    <r>
      <rPr>
        <sz val="12"/>
        <rFont val="Cordia New"/>
        <family val="2"/>
      </rPr>
      <t>:</t>
    </r>
  </si>
  <si>
    <t xml:space="preserve">เลขประจำตัวผู้เสียภาษี  : </t>
  </si>
  <si>
    <t xml:space="preserve">ชื่อ        : </t>
  </si>
  <si>
    <t>สำนักงานใหญ่</t>
  </si>
  <si>
    <t xml:space="preserve">ที่อยู่     : </t>
  </si>
  <si>
    <t>ผู้ถูกหักภาษี ณ ที่จ่าย :</t>
  </si>
  <si>
    <t>ประเภทเงินได้พีงประเมินที่จ่าย</t>
  </si>
  <si>
    <t>วัน เดือน หรือ</t>
  </si>
  <si>
    <t>จำนวนเงินที่จ่าย</t>
  </si>
  <si>
    <t>ภาษีที่หัก</t>
  </si>
  <si>
    <t>ปีภาษีที่จ่าย</t>
  </si>
  <si>
    <t>และนำส่งไว้</t>
  </si>
  <si>
    <t>1. เงินเดือน ค่าจ้าง เบี้ยเลี้ยง โบนัส ฯลฯ ตามมาตรา 40 (1)</t>
  </si>
  <si>
    <t>2. ค่าธรรมเนียม ค่านายหน้า ฯลฯ ตามมาตรา 40 (2)</t>
  </si>
  <si>
    <t>3. ค่าแห่งลิขสิทธิ์ ฯลฯ ตามมาตรา 40 (3)</t>
  </si>
  <si>
    <t>4. (ก) ค่าดอกเบี้ย ฯลฯ ตามมาตรา 40 (4) (ก)</t>
  </si>
  <si>
    <t xml:space="preserve">    (ข) เงินปันผล เงินส่วนแบ่งของกำไร ฯลฯ ตามมาตรา 40 (4) (ข)</t>
  </si>
  <si>
    <t xml:space="preserve">          (1) กรณีผู้ได้รับเงินปันผลได้รับเครดิตภาษี โดยจ่ายจาก </t>
  </si>
  <si>
    <t xml:space="preserve">          กำไรสุทธิของกิจการที่ต้องเสียภาษีเงินได้นิติบุคคุลในอัตราดังนี้</t>
  </si>
  <si>
    <t xml:space="preserve">       (1.1) อัตราร้อยละ 30 ของกำไรสุทธิ</t>
  </si>
  <si>
    <t xml:space="preserve">      </t>
  </si>
  <si>
    <t xml:space="preserve">       (1.2) อัตราร้อยละ 25 ของกำไรสุทธิ</t>
  </si>
  <si>
    <t xml:space="preserve">       (1.3) อัตราร้อยละ 20 ของกำไรสุทธิ</t>
  </si>
  <si>
    <r>
      <t xml:space="preserve">       (1.4) อัตราอื่นๆ </t>
    </r>
    <r>
      <rPr>
        <i/>
        <sz val="12"/>
        <rFont val="Cordia New"/>
        <family val="2"/>
      </rPr>
      <t>(ระบุ)</t>
    </r>
    <r>
      <rPr>
        <sz val="12"/>
        <rFont val="Cordia New"/>
        <family val="2"/>
      </rPr>
      <t xml:space="preserve">                 ของกำไรสุทธิ</t>
    </r>
  </si>
  <si>
    <t xml:space="preserve">          (2) กรณีผู้ได้รับเงินปันผลไม่ได้รับเครดิตภาษี เนื่องจากจ่ายจาก</t>
  </si>
  <si>
    <t>(2.1) กำไรสุทธิของกิจการที่ได้รับยกเว้นภาษีเงินได้นิติบุคคล</t>
  </si>
  <si>
    <t>(2.2) เงินปันผลหรือเงินส่วนแบ่งของกำไรที่ได้รับยกเว้นไม่ต้องนำมารวม</t>
  </si>
  <si>
    <t>คำนวณเป็นรายได้เพื่อเสียภาษีเงินได้นิติบุคคล</t>
  </si>
  <si>
    <t>(2.3) กำไรสุทธิส่วนที่ได้หักผลขาดทุนสุทธิยกมาไม่เกิน 5 ปี ก่อนรอบระยะเวลาบัญชีปัจจุบัน</t>
  </si>
  <si>
    <t>(2.4) กำไรที่รับรู้ทางบัญชีโดยวิธีส่วนได้เสีย (Equity method)</t>
  </si>
  <si>
    <r>
      <t xml:space="preserve">(2.5) อื่นๆ </t>
    </r>
    <r>
      <rPr>
        <i/>
        <sz val="12"/>
        <rFont val="Cordia New"/>
        <family val="2"/>
      </rPr>
      <t xml:space="preserve">(ระบุ) </t>
    </r>
    <r>
      <rPr>
        <sz val="12"/>
        <rFont val="Cordia New"/>
        <family val="2"/>
      </rPr>
      <t xml:space="preserve">               </t>
    </r>
  </si>
  <si>
    <t xml:space="preserve">5. การจ่ายเงินได้ที่ต้องหักภาษี ณ ที่จ่ายตามคำสั่งกรมสรรพากร ที่ออกตามมาตรา 3 เตรส </t>
  </si>
  <si>
    <t xml:space="preserve">    เช่น รางวัล ส่วนลดหรือประโยชน์ใดๆ  เนื่องจากการส่งเสริมการขาย รางวัลในการประกวด</t>
  </si>
  <si>
    <t xml:space="preserve">    การแข่งขัน การชิงโชค  ค่าบริการ ค่าแสดงของนักแสดงสาธารณะ  ค่าจ้างทำของ  ค่าขนส่ง ค่าเช่า</t>
  </si>
  <si>
    <t xml:space="preserve">    ค่าโฆษณา  ค่าเบี้ยประกันวินาศภัย ฯลฯ</t>
  </si>
  <si>
    <r>
      <t xml:space="preserve">6. อื่นๆ </t>
    </r>
    <r>
      <rPr>
        <i/>
        <sz val="12"/>
        <rFont val="Cordia New"/>
        <family val="2"/>
      </rPr>
      <t>(ระบุ)</t>
    </r>
  </si>
  <si>
    <t>รวมเงินที่จ่ายและภาษีที่หักนำส่ง</t>
  </si>
  <si>
    <r>
      <t xml:space="preserve">รวมเงินภาษีที่หักนำส่ง </t>
    </r>
    <r>
      <rPr>
        <i/>
        <sz val="12"/>
        <rFont val="Cordia New"/>
        <family val="2"/>
      </rPr>
      <t>(ตัวอักษร)</t>
    </r>
  </si>
  <si>
    <t>เงินที่จ่ายเข้า กบข./กสจ./กองทุนสงเคราะห์ครูโรงเรียนเอกชน                    บาท กองทุนประกันสังคม                     บาท   กองทุนสำรองเลี้ยงชีพ                    บาท</t>
  </si>
  <si>
    <t>ผู้จ่ายเงิน               X     (1)หักภาษี ณ ที่จ่าย                    (2)ออกให้ตลอดไป                    (3)ออกให้ครั้งเดียว                    (4)อื่นๆ (ให้ระบุ)</t>
  </si>
  <si>
    <t>คำเตือน</t>
  </si>
  <si>
    <t>ผู้มีหน้าที่ออกหนังสือรับรองการหักภาษี ณ ที่จ่าย ฝ่าฝืนไม่ปฏิบัติตามมาตรา 50 ทวิ แห่งประมวลรัษฎากร ต้องรับโทษทางอาญาตามมาตรา 35 แห่งประมวลรัษฎากร</t>
  </si>
  <si>
    <t xml:space="preserve">      ขอรับรองว่า ข้อความและตัวเลขดังกล่าวข้างต้นถูกต้องตรงกับความจริงทุกประการ</t>
  </si>
  <si>
    <t>ผู้มีหน้าที่หักภาษี ณ ที่จ่าย</t>
  </si>
  <si>
    <t>วัน เดือน ปี ที่ออกหนังสือรับรอง ฯ</t>
  </si>
  <si>
    <t>หมายเหตุ * ให้สามารถอ้างอิงหรือสอบยันกันได้ระหว่างลำดับที่ตามหนังสือรับรองฯ กับแบบที่ยื่นรายการภาษีหัก ณ ที่จ่าย</t>
  </si>
  <si>
    <t>ฉบับที่ 2 (สำหรับผู้ถูกหักภาษี ณ ที่จ่าย เก็บไว้เป็นหลักฐาน )</t>
  </si>
  <si>
    <t xml:space="preserve">*หนังสือรับรองการหักภาษี ณ ที่จ่าย ตามมาตรา 50 ทวิ แห่งประมวลรัษฎากร                                                   </t>
  </si>
  <si>
    <t xml:space="preserve">       (1.4) อัตราอื่นๆ (ระบุ)                 ของกำไรสุทธิ</t>
  </si>
  <si>
    <t>จำนวนเงินภาษีที่หักนำส่ง (ตัวอักษร)</t>
  </si>
  <si>
    <t>ค่าเบี้ยประกัน</t>
  </si>
  <si>
    <t>บริษัท ตัวอย่าง  จำกัด</t>
  </si>
  <si>
    <t>0515262535825</t>
  </si>
  <si>
    <t>123 ตำบลก ถนนป แขวงข กรุงเทพ</t>
  </si>
  <si>
    <t>นาย ก ช</t>
  </si>
  <si>
    <t>5/2 หมู่ 4 ต.พยุหะ อ.พยุหะคีรี นครสวรรค์ 12345</t>
  </si>
  <si>
    <t>5055/5 ถ.พหลโยธิน ต.เวียง อ.เมือง พะเยา 12345</t>
  </si>
  <si>
    <t>502/9 หมู่2 ต.ปากทาง อ.เมือง พิจิตร 12345</t>
  </si>
  <si>
    <t>504 หมู่ที่ 9 ต.ในเมือง อ.สวรรคโลก สุโขทัย 12345</t>
  </si>
  <si>
    <t>508 หมู่ 7 ต.กลางดง อ.ทุ่งเสลี่ยม สุโขทัย 12345</t>
  </si>
  <si>
    <t>5520 หมู่ 5 ถ.ไกรสรสิทธิ์ ต.เวียง อ.เมือง เชียงราย 12345</t>
  </si>
  <si>
    <t>556 หมู่ 5 ต.หนองฉาง อ.หนองฉาง อุทัยธานี 12345</t>
  </si>
  <si>
    <t>53/5 หมู่ 5 ถนน พะเยา-ปง ต.ห้วยข้าวก่ำ อ.จุน พะเยา 12345</t>
  </si>
  <si>
    <t>555 หมู่ 55 ต.สันนาเม็ง อ.สันทราย เชียงใหม่ 12345</t>
  </si>
  <si>
    <t>5522 หมู่ที่ 5 ต.สลกบาตร อ.ขาณุวรลักษบุรี กำแพงเพชร 12345</t>
  </si>
  <si>
    <t>558 หมู่5 ต.นครสวรรค์ อ.เมือง นครสวรรค์ 12345</t>
  </si>
  <si>
    <t>558/9 หมู่ 5 ถ. ท่าตะโก - นครสวรรค์ ต.นครสวรรค์ออก อ.เมือง นครสวรรค์ 12345</t>
  </si>
  <si>
    <t>568/5 หมู่ 4 ถ. ไทยชุมพล ต.ธานี อ.เมือง สุโขทัย 12345</t>
  </si>
  <si>
    <t>570 หมู่ 2 ต.สันมหาพน อ.แม่แตง เชียงใหม่ 12345</t>
  </si>
  <si>
    <t>577 ถ.ยันตรกิจโกศล ต.ร้องกวาง อ.ร้องกวาง แพร่ 12345</t>
  </si>
  <si>
    <t>578 หมู่ 50 ถ.ฮอด-วังลุง ต.หางดง อ.ฮอด เชียงใหม่ 12345</t>
  </si>
  <si>
    <t>59 หมู่ที่ 52 ถ.แม่สะเรียง ต.บ้านกาศ อ.แม่สะเรียง แม่ฮ่องสอน 12345</t>
  </si>
  <si>
    <t>590 หมู่ 5 ถ.สายเอเชีย ต.แม่ปะ อ.เถิน ลำปาง 12345</t>
  </si>
  <si>
    <t>2 ถ.ศศิบุตร ต.- อ.เมือง แพร่ 12345</t>
  </si>
  <si>
    <t>2 หมู่ 4 ถ.โชตนา ต.เวียง อ.ฝาง เชียงใหม่ 12345</t>
  </si>
  <si>
    <t>203 ถ.พรหมประเสริฐ ต.บ้านกล้วย อ.เมือง ชัยนาท 12345</t>
  </si>
  <si>
    <t>2580 หมู่ 5 ถ. คลองชลประทาน ต.เมืองพาน อ.พาน เชียงราย 12345</t>
  </si>
  <si>
    <t>22 หมู่ 55 ถ.เชียงราย-เทิง ต.เวียง อ.เทิง เชียงราย 12345</t>
  </si>
  <si>
    <t>240 หมู่ 3 ถ.บ้านป่าป๋วย-หนองเขียด ต.บ้านโฮ่ง อ.บ้านโฮ่ง ลำพูน 12345</t>
  </si>
  <si>
    <t>286 หมู่ 5 ถ. น่าน-ทุ่งช้าง ต.ท่าวังผา อ.ท่าวังผา น่าน 12345</t>
  </si>
  <si>
    <t>29 ถ. ประเวศน์เหนือ ต.บางมูลนาก อ.บางมูลนาก  12345</t>
  </si>
  <si>
    <t>30/35 ม.35 ต.คลองตาล อ.ศรีสำโรง สุโขทัย 12345</t>
  </si>
  <si>
    <t>3354 ม.35 ถ.พหลโยธิน ต.เวียงพางคำ อ.แม่สาย เชียงราย 12345</t>
  </si>
  <si>
    <t>322 หมู่ 35 ต.ท่าสายลวด อ.แม่สอด ตาก 12345</t>
  </si>
  <si>
    <t>330 ถ.เชียงใหม่-ลำปาง ต.ป่าตัน อ.เมือง เชียงใหม่ 12345</t>
  </si>
  <si>
    <t>36 หมู่ 350 ถ.เชียงใหม่-สันกำแพง ต.สันกำแพง อ.สันกำแพง เชียงใหม่ 12345</t>
  </si>
  <si>
    <t>3935 หมู่ที่ 35 ต.นครไทย อ.นครไทย พิษณุโลก 12345</t>
  </si>
  <si>
    <t>440 ถ. พหลโยธิน ต.หัวเวียง อ.เมือง ลำปาง 12345</t>
  </si>
  <si>
    <t>449 หมู่ 35 ต.ริมใต้ อ.แม่ริม เชียงใหม่ 12345</t>
  </si>
  <si>
    <t>472 หมู่ที่ 352 ถ.ทางหลวงหมายเลข 35020 ต.เวียง อ.เวียงเชียงของ เชียงราย 12345</t>
  </si>
  <si>
    <t>535/4 ม.2 ต.ผาจุก อ.เมือง อุตรดิตถ์ 12345</t>
  </si>
  <si>
    <t>557 หมู่ 3535 ต.เด่นชัย อ.เด่นชัย แพร่ 12345</t>
  </si>
  <si>
    <t>662 หมู่ที่ 8 ต.วังทอง อ.วังทอง พิษณุโลก 12345</t>
  </si>
  <si>
    <t>69 ถ.ปางล้อนิคม ต.จองคำ อ.เมือง แม่ฮ่องสอน 12345</t>
  </si>
  <si>
    <t>697 หมู่ 4 ต.วังเหนือ อ.วังเหนือ ลำปาง 12345</t>
  </si>
  <si>
    <t>74 ถ.เทศา35 ต.ในเมือง อ.เมือง กำแพงเพชร 12345</t>
  </si>
  <si>
    <t>9/35 ถ.มหาดไทยบำรุง ต.หนองหลวง อ.เมือง ตาก 12345</t>
  </si>
  <si>
    <t>940 หมู่ 35 ต.หาดเสี้ยว อ.ศรีสัชนาลัย สุโขทัย 12345</t>
  </si>
  <si>
    <t>111 ถ.สุมนเทวราช ต.ในเวียง อ.เมือง น่าน 12345</t>
  </si>
  <si>
    <t>3508 หมู่ 7 ต.กลางดง อ.ทุ่งเสลี่ยม สุโขทัย 12345</t>
  </si>
  <si>
    <t>353520 หมู่ 35 ถ.ไกรสรสิทธิ์ ต.เวียง อ.เมือง เชียงราย 12345</t>
  </si>
  <si>
    <t>35356 หมู่ 5 ต.หนองฉาง อ.หนองฉาง อุทัยธานี 12345</t>
  </si>
  <si>
    <t>1234 ถ.สุมนเทวราช ต.ในเวียง อ.เมือง น่าน 12345</t>
  </si>
  <si>
    <t>ชั้น</t>
  </si>
  <si>
    <t>เลขเสียภาษี</t>
  </si>
  <si>
    <t>ชื่อ</t>
  </si>
  <si>
    <t>อาคาร</t>
  </si>
  <si>
    <t>ห้อง</t>
  </si>
  <si>
    <t>เลขที่</t>
  </si>
  <si>
    <t>หมู่</t>
  </si>
  <si>
    <t>ซอย</t>
  </si>
  <si>
    <t>ถนน</t>
  </si>
  <si>
    <t>แขวง</t>
  </si>
  <si>
    <t>แยก</t>
  </si>
  <si>
    <t>เขต</t>
  </si>
  <si>
    <t>จังหวัด</t>
  </si>
  <si>
    <t>รหัสไปษณีย์</t>
  </si>
  <si>
    <t>วดป ที่จ่าย</t>
  </si>
  <si>
    <t>เปอร์เซ็น</t>
  </si>
  <si>
    <t>จำนวนเงิน</t>
  </si>
  <si>
    <t>ภาษี</t>
  </si>
  <si>
    <t>ค่า</t>
  </si>
  <si>
    <t>สกุล</t>
  </si>
  <si>
    <t>คำนำหน้า</t>
  </si>
  <si>
    <t>ประเภท</t>
  </si>
  <si>
    <t>ห้องเลขที่</t>
  </si>
  <si>
    <t>ชั้นที่</t>
  </si>
  <si>
    <t>Helper</t>
  </si>
  <si>
    <t>ตรวจ 3</t>
  </si>
  <si>
    <t>ตรวจ 53</t>
  </si>
  <si>
    <t>เรียง 53</t>
  </si>
  <si>
    <t>เรียง 3</t>
  </si>
  <si>
    <t>ลำดับ</t>
  </si>
  <si>
    <t>แขวง (ตำบล)</t>
  </si>
  <si>
    <t>เขต (อำเภอ)</t>
  </si>
  <si>
    <t>สาขา</t>
  </si>
  <si>
    <t>บริษัท</t>
  </si>
  <si>
    <t>ที่อยู่แก้ไข</t>
  </si>
  <si>
    <t>557/5 หมู่ 5 ซอยตัวอย่าง ต.ลาดยาว อ.ลาดยาว นครสวรรค์ 12345</t>
  </si>
  <si>
    <t>266 อาคารทาวเวอร์ ถ.รอบเมืองนอก ต.ในเมือง อ.เมือง ลำพูน 12345</t>
  </si>
  <si>
    <t>399 อาคารมหาไท ห้อง 123 หมู่ 355 ถ.จอมทอง-อินทนนท์ ต.ข่วงเปา อ.จอมทอง เชียงใหม่ 12345</t>
  </si>
  <si>
    <t>273 หมู่ 3 ถ.พหลโยธิน แยก 3 ต.ศาลา อ.เกาะคา ลำปาง 12345</t>
  </si>
  <si>
    <t>*Export Wht53 below information into text file to use for RD Tax filing later</t>
  </si>
  <si>
    <t>*Export Wht03 below information into text file to use for RD Tax filing later</t>
  </si>
  <si>
    <t>04500XXX09416</t>
  </si>
  <si>
    <t>05462XXX06239</t>
  </si>
  <si>
    <t>09421XXX10141</t>
  </si>
  <si>
    <t>02317XXX34284</t>
  </si>
  <si>
    <t>01090XXX99101</t>
  </si>
  <si>
    <t>01949XXX93691</t>
  </si>
  <si>
    <t>02823XXX27342</t>
  </si>
  <si>
    <t>04948XXX26999</t>
  </si>
  <si>
    <t>03808XXX55271</t>
  </si>
  <si>
    <t>02776XXX59149</t>
  </si>
  <si>
    <t>05333XXX49910</t>
  </si>
  <si>
    <t>08443XXX96101</t>
  </si>
  <si>
    <t>00440XXX91709</t>
  </si>
  <si>
    <t>03035XXX97937</t>
  </si>
  <si>
    <t>03330XXX65931</t>
  </si>
  <si>
    <t>00576XXX49365</t>
  </si>
  <si>
    <t>05212XXX15301</t>
  </si>
  <si>
    <t>01021XXX61943</t>
  </si>
  <si>
    <t>00262XXX25179</t>
  </si>
  <si>
    <t>07221XXX83082</t>
  </si>
  <si>
    <t>03376XXX18618</t>
  </si>
  <si>
    <t>00549XXX74344</t>
  </si>
  <si>
    <t>03454XXX54237</t>
  </si>
  <si>
    <t>09443XXX63317</t>
  </si>
  <si>
    <t>04380XXX81121</t>
  </si>
  <si>
    <t>02520XXX40838</t>
  </si>
  <si>
    <t>01010XXX41250</t>
  </si>
  <si>
    <t>01011XXX96557</t>
  </si>
  <si>
    <t>09197XXX06367</t>
  </si>
  <si>
    <t>04080XXX71785</t>
  </si>
  <si>
    <t>02498XXX70848</t>
  </si>
  <si>
    <t>04539XXX42872</t>
  </si>
  <si>
    <t>06620XXX77062</t>
  </si>
  <si>
    <t>03928XXX54370</t>
  </si>
  <si>
    <t>09544XXX01031</t>
  </si>
  <si>
    <t>05101XXX40082</t>
  </si>
  <si>
    <t>05607XXX85393</t>
  </si>
  <si>
    <t>09308XXX07289</t>
  </si>
  <si>
    <t>04998XXX46087</t>
  </si>
  <si>
    <t>08610XXX63740</t>
  </si>
  <si>
    <t>03551XXX26574</t>
  </si>
  <si>
    <t>07388XXX11019</t>
  </si>
  <si>
    <t>07782XXX01011</t>
  </si>
  <si>
    <t>06508XXX77933</t>
  </si>
  <si>
    <t>09676XXX30986</t>
  </si>
  <si>
    <t>07517XXX34525</t>
  </si>
  <si>
    <t>09558XXX51579</t>
  </si>
  <si>
    <t>08410XXX54596</t>
  </si>
  <si>
    <t>05451XXX62482</t>
  </si>
  <si>
    <t>09822XXX58092</t>
  </si>
  <si>
    <t>09110XXX01746</t>
  </si>
  <si>
    <t>06790XXX02498</t>
  </si>
  <si>
    <t>03205XXX54130</t>
  </si>
  <si>
    <t>06590XXX34203</t>
  </si>
  <si>
    <t>02420XXX57354</t>
  </si>
  <si>
    <t>09347XXX35049</t>
  </si>
  <si>
    <t>05815XXX01016</t>
  </si>
  <si>
    <t>ตัวอย่าง</t>
  </si>
  <si>
    <t>อยากจะรวย</t>
  </si>
  <si>
    <t>ซื้อแล้วรวย</t>
  </si>
  <si>
    <t>พิ่งเปิด</t>
  </si>
  <si>
    <t>สงเจริญ</t>
  </si>
  <si>
    <t>อาคมแรง</t>
  </si>
  <si>
    <t>โตแล้วโต</t>
  </si>
  <si>
    <t>มาคงสัย</t>
  </si>
  <si>
    <t>helper</t>
  </si>
  <si>
    <t>บริษัท ตัวอย่าง 34 จำกัด</t>
  </si>
  <si>
    <t>บริษัท พิ่งเปิด 94 จำกัด</t>
  </si>
  <si>
    <t>บริษัท ซื้อแล้วรวย 56 จำกัด</t>
  </si>
  <si>
    <t>นาย อยากจะรวย อาคมแรงสี่สิบสาม</t>
  </si>
  <si>
    <t>นาย อยากจะรวย อาคมแรงแปดสิบเอ็ด</t>
  </si>
  <si>
    <t>บริษัท พิ่งเปิด 12 จำกัด</t>
  </si>
  <si>
    <t>นาย อยากจะรวย อาคมแรงเก้าสิบห้า</t>
  </si>
  <si>
    <t>บริษัท พิ่งเปิด 24 จำกัด</t>
  </si>
  <si>
    <t>นาย พิ่งเปิด มาคงสัยเก้าสิบเอ็ด</t>
  </si>
  <si>
    <t>นาย พิ่งเปิด มาคงสัยหกสิบเอ็ด</t>
  </si>
  <si>
    <t>บริษัท ตัวอย่าง 40 จำกัด</t>
  </si>
  <si>
    <t>นาย อยากจะรวย อาคมแรงแปดสิบสาม</t>
  </si>
  <si>
    <t>บริษัท พิ่งเปิด 46 จำกัด</t>
  </si>
  <si>
    <t>นาง ตัวอย่าง สงเจริญห้าสิบเจ็ด</t>
  </si>
  <si>
    <t>นาง ตัวอย่าง สงเจริญแปดสิบเก้า</t>
  </si>
  <si>
    <t>บริษัท พิ่งเปิด 28 จำกัด</t>
  </si>
  <si>
    <t>นาย พิ่งเปิด มาคงสัยห้าสิบสาม</t>
  </si>
  <si>
    <t>นาง ซื้อแล้วรวย โตแล้วโตเจ็ดสิบเจ็ด</t>
  </si>
  <si>
    <t>นาย อยากจะรวย อาคมแรงสามสิบเอ็ด</t>
  </si>
  <si>
    <t>บริษัท พิ่งเปิด 6 จำกัด</t>
  </si>
  <si>
    <t>บริษัท พิ่งเปิด 74 จำกัด</t>
  </si>
  <si>
    <t>บริษัท ซื้อแล้วรวย 26 จำกัด</t>
  </si>
  <si>
    <t>บริษัท ตัวอย่าง 82 จำกัด</t>
  </si>
  <si>
    <t>บริษัท ซื้อแล้วรวย 12 จำกัด</t>
  </si>
  <si>
    <t>บริษัท ซื้อแล้วรวย 44 จำกัด</t>
  </si>
  <si>
    <t>นาย อยากจะรวย อาคมแรงสามสิบห้า</t>
  </si>
  <si>
    <t>นาง ซื้อแล้วรวย โตแล้วโตหกสิบห้า</t>
  </si>
  <si>
    <t>บริษัท พิ่งเปิด 62 จำกัด</t>
  </si>
  <si>
    <t>นาย อยากจะรวย อาคมแรงสามสิบเก้า</t>
  </si>
  <si>
    <t>นาย พิ่งเปิด มาคงสัยหกสิบเก้า</t>
  </si>
  <si>
    <t>บริษัท ซื้อแล้วรวย 94 จำกัด</t>
  </si>
  <si>
    <t>บริษัท อยากจะรวย 98 จำกัด</t>
  </si>
  <si>
    <t>นาง ซื้อแล้วรวย โตแล้วโตห้าสิบเจ็ด</t>
  </si>
  <si>
    <t>บริษัท อยากจะรวย 76 จำกัด</t>
  </si>
  <si>
    <t>นาง ซื้อแล้วรวย โตแล้วโตแปดสิบเอ็ด</t>
  </si>
  <si>
    <t>นาง ซื้อแล้วรวย โตแล้วโตหกสิบเอ็ด</t>
  </si>
  <si>
    <t>นาง ตัวอย่าง สงเจริญห้าสิบห้า</t>
  </si>
  <si>
    <t>นาง ซื้อแล้วรวย โตแล้วโตสี่สิบห้า</t>
  </si>
  <si>
    <t>นาย อยากจะรวย อาคมแรงสี่สิบเอ็ด</t>
  </si>
  <si>
    <t>บริษัท อยากจะรวย 36 จำกัด</t>
  </si>
  <si>
    <t>นาง ตัวอย่าง สงเจริญสิบเก้า</t>
  </si>
  <si>
    <t>บริษัท ตัวอย่าง 76 จำกัด</t>
  </si>
  <si>
    <t>บริษัท ตัวอย่าง 42 จำกัด</t>
  </si>
  <si>
    <t>บริษัท ซื้อแล้วรวย 80 จำกัด</t>
  </si>
  <si>
    <t>นาง ตัวอย่าง สงเจริญยี่สิบเก้า</t>
  </si>
  <si>
    <t>บริษัท พิ่งเปิด 84 จำกัด</t>
  </si>
  <si>
    <t>บริษัท ตัวอย่าง 70 จำกัด</t>
  </si>
  <si>
    <t>นาย พิ่งเปิด มาคงสัยสามสิบเจ็ด</t>
  </si>
  <si>
    <t>นาย พิ่งเปิด มาคงสัยยี่สิบสาม</t>
  </si>
  <si>
    <t>This code is desing to import the data from text file and Excel file using VBA. Please select Import File to use.</t>
  </si>
  <si>
    <t>This tab is desing to export the below data into the pdf format using a WHT form in tab 2_2. Please select Save as pdf button.</t>
  </si>
  <si>
    <t>Helper column</t>
  </si>
  <si>
    <t>*Take the raw data below to generate into a text file for further RD tax filing. This code will create folder on the desktop. Please select Export03.</t>
  </si>
  <si>
    <t>*Take the data from tab 2_2 and arrage the data for further use in Tab 3 to generate text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</si>
</sst>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409]dd\-mmm\-yy;@"/>
    <numFmt numFmtId="166" formatCode="dd\/mm\/bb"/>
    <numFmt numFmtId="167" formatCode="dd/mm/yyyy"/>
    <numFmt numFmtId="168" formatCode="B1d\-mmm\-yy"/>
    <numFmt numFmtId="169" formatCode="0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u/>
      <sz val="12"/>
      <name val="Cordia New"/>
      <family val="2"/>
    </font>
    <font>
      <sz val="12"/>
      <name val="Cordia New"/>
      <family val="2"/>
    </font>
    <font>
      <sz val="12"/>
      <color indexed="9"/>
      <name val="Cordia New"/>
      <family val="2"/>
    </font>
    <font>
      <sz val="12"/>
      <color theme="0"/>
      <name val="Cordia New"/>
      <family val="2"/>
    </font>
    <font>
      <sz val="16"/>
      <name val="Cordia New"/>
      <family val="2"/>
    </font>
    <font>
      <i/>
      <sz val="12"/>
      <name val="Cordia New"/>
      <family val="2"/>
    </font>
    <font>
      <u/>
      <sz val="12"/>
      <color theme="1"/>
      <name val="Cordia New"/>
      <family val="2"/>
    </font>
    <font>
      <sz val="12"/>
      <color theme="1"/>
      <name val="Cordia New"/>
      <family val="2"/>
    </font>
    <font>
      <sz val="12"/>
      <color indexed="8"/>
      <name val="Cordia New"/>
      <family val="2"/>
    </font>
    <font>
      <b/>
      <sz val="12"/>
      <name val="Cordia New"/>
      <family val="2"/>
    </font>
    <font>
      <sz val="11"/>
      <name val="Cordia New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charset val="222"/>
      <scheme val="minor"/>
    </font>
    <font>
      <sz val="11"/>
      <color rgb="FF000000"/>
      <name val="Calibri"/>
      <family val="2"/>
      <charset val="222"/>
      <scheme val="minor"/>
    </font>
    <font>
      <b/>
      <sz val="14"/>
      <name val="Cordia New"/>
      <family val="2"/>
    </font>
    <font>
      <sz val="7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9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6" fillId="0" borderId="0"/>
    <xf numFmtId="0" fontId="18" fillId="0" borderId="0"/>
    <xf numFmtId="0" fontId="17" fillId="0" borderId="0"/>
    <xf numFmtId="0" fontId="3" fillId="0" borderId="0"/>
    <xf numFmtId="0" fontId="3" fillId="0" borderId="0"/>
  </cellStyleXfs>
  <cellXfs count="122">
    <xf numFmtId="0" fontId="0" fillId="0" borderId="0" xfId="0"/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9" fontId="0" fillId="0" borderId="1" xfId="2" applyFont="1" applyFill="1" applyBorder="1" applyAlignment="1">
      <alignment horizontal="center"/>
    </xf>
    <xf numFmtId="164" fontId="4" fillId="0" borderId="1" xfId="1" applyFont="1" applyFill="1" applyBorder="1" applyAlignment="1">
      <alignment horizontal="center"/>
    </xf>
    <xf numFmtId="9" fontId="4" fillId="0" borderId="1" xfId="2" applyFont="1" applyFill="1" applyBorder="1" applyAlignment="1">
      <alignment horizontal="center"/>
    </xf>
    <xf numFmtId="164" fontId="0" fillId="0" borderId="1" xfId="1" applyFont="1" applyFill="1" applyBorder="1"/>
    <xf numFmtId="0" fontId="5" fillId="0" borderId="0" xfId="0" applyFont="1" applyAlignment="1">
      <alignment horizontal="centerContinuous"/>
    </xf>
    <xf numFmtId="0" fontId="6" fillId="0" borderId="0" xfId="0" applyFont="1"/>
    <xf numFmtId="0" fontId="6" fillId="0" borderId="0" xfId="0" applyFont="1" applyAlignment="1">
      <alignment horizontal="right"/>
    </xf>
    <xf numFmtId="0" fontId="5" fillId="0" borderId="2" xfId="0" applyFont="1" applyBorder="1"/>
    <xf numFmtId="0" fontId="6" fillId="0" borderId="3" xfId="0" applyFont="1" applyBorder="1"/>
    <xf numFmtId="0" fontId="6" fillId="0" borderId="3" xfId="0" applyFont="1" applyBorder="1" applyAlignment="1">
      <alignment horizontal="right"/>
    </xf>
    <xf numFmtId="0" fontId="6" fillId="0" borderId="3" xfId="0" quotePrefix="1" applyFont="1" applyBorder="1" applyAlignment="1">
      <alignment horizontal="right"/>
    </xf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0" xfId="0" applyFont="1" applyAlignment="1">
      <alignment horizontal="left"/>
    </xf>
    <xf numFmtId="0" fontId="7" fillId="0" borderId="4" xfId="0" quotePrefix="1" applyFont="1" applyBorder="1"/>
    <xf numFmtId="0" fontId="8" fillId="0" borderId="6" xfId="0" quotePrefix="1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7" xfId="0" applyFont="1" applyBorder="1" applyAlignment="1">
      <alignment horizontal="center"/>
    </xf>
    <xf numFmtId="0" fontId="9" fillId="0" borderId="8" xfId="0" applyFont="1" applyBorder="1" applyAlignment="1">
      <alignment horizontal="right"/>
    </xf>
    <xf numFmtId="0" fontId="6" fillId="0" borderId="8" xfId="0" applyFont="1" applyBorder="1" applyAlignment="1">
      <alignment horizontal="right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right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164" fontId="6" fillId="0" borderId="17" xfId="1" applyFont="1" applyBorder="1"/>
    <xf numFmtId="164" fontId="6" fillId="0" borderId="18" xfId="1" applyFont="1" applyBorder="1"/>
    <xf numFmtId="0" fontId="6" fillId="0" borderId="19" xfId="0" applyFont="1" applyBorder="1"/>
    <xf numFmtId="0" fontId="6" fillId="0" borderId="20" xfId="0" applyFont="1" applyBorder="1"/>
    <xf numFmtId="0" fontId="6" fillId="0" borderId="21" xfId="0" applyFont="1" applyBorder="1"/>
    <xf numFmtId="164" fontId="6" fillId="0" borderId="22" xfId="1" applyFont="1" applyBorder="1"/>
    <xf numFmtId="164" fontId="6" fillId="0" borderId="23" xfId="1" applyFont="1" applyBorder="1"/>
    <xf numFmtId="14" fontId="6" fillId="0" borderId="21" xfId="0" applyNumberFormat="1" applyFont="1" applyBorder="1" applyAlignment="1">
      <alignment horizontal="center"/>
    </xf>
    <xf numFmtId="164" fontId="7" fillId="0" borderId="22" xfId="1" applyFont="1" applyBorder="1"/>
    <xf numFmtId="164" fontId="7" fillId="0" borderId="23" xfId="1" applyFont="1" applyBorder="1"/>
    <xf numFmtId="0" fontId="11" fillId="2" borderId="20" xfId="0" applyFont="1" applyFill="1" applyBorder="1" applyAlignment="1">
      <alignment horizontal="center"/>
    </xf>
    <xf numFmtId="166" fontId="6" fillId="0" borderId="24" xfId="0" applyNumberFormat="1" applyFont="1" applyBorder="1" applyAlignment="1">
      <alignment horizontal="center"/>
    </xf>
    <xf numFmtId="164" fontId="6" fillId="0" borderId="25" xfId="1" applyFont="1" applyBorder="1"/>
    <xf numFmtId="164" fontId="12" fillId="0" borderId="23" xfId="1" applyFont="1" applyBorder="1"/>
    <xf numFmtId="0" fontId="13" fillId="0" borderId="0" xfId="0" applyFont="1"/>
    <xf numFmtId="164" fontId="6" fillId="0" borderId="0" xfId="0" applyNumberFormat="1" applyFont="1"/>
    <xf numFmtId="0" fontId="8" fillId="0" borderId="0" xfId="0" applyFont="1"/>
    <xf numFmtId="0" fontId="6" fillId="0" borderId="26" xfId="0" quotePrefix="1" applyFont="1" applyBorder="1"/>
    <xf numFmtId="0" fontId="6" fillId="0" borderId="27" xfId="0" applyFont="1" applyBorder="1"/>
    <xf numFmtId="164" fontId="6" fillId="0" borderId="28" xfId="1" applyFont="1" applyBorder="1"/>
    <xf numFmtId="0" fontId="6" fillId="0" borderId="2" xfId="0" applyFont="1" applyBorder="1"/>
    <xf numFmtId="0" fontId="6" fillId="0" borderId="3" xfId="0" applyFont="1" applyBorder="1" applyAlignment="1">
      <alignment horizontal="center"/>
    </xf>
    <xf numFmtId="0" fontId="14" fillId="0" borderId="3" xfId="0" applyFont="1" applyBorder="1" applyAlignment="1">
      <alignment horizontal="right"/>
    </xf>
    <xf numFmtId="164" fontId="12" fillId="0" borderId="29" xfId="1" applyFont="1" applyBorder="1"/>
    <xf numFmtId="164" fontId="12" fillId="0" borderId="30" xfId="1" applyFont="1" applyBorder="1"/>
    <xf numFmtId="0" fontId="6" fillId="4" borderId="0" xfId="0" applyFont="1" applyFill="1"/>
    <xf numFmtId="0" fontId="6" fillId="0" borderId="31" xfId="0" applyFont="1" applyBorder="1"/>
    <xf numFmtId="0" fontId="6" fillId="0" borderId="32" xfId="0" applyFont="1" applyBorder="1"/>
    <xf numFmtId="0" fontId="6" fillId="0" borderId="33" xfId="0" applyFont="1" applyBorder="1"/>
    <xf numFmtId="166" fontId="6" fillId="0" borderId="7" xfId="0" applyNumberFormat="1" applyFont="1" applyBorder="1" applyAlignment="1">
      <alignment horizontal="center"/>
    </xf>
    <xf numFmtId="0" fontId="6" fillId="4" borderId="0" xfId="1" applyNumberFormat="1" applyFont="1" applyFill="1" applyBorder="1" applyAlignment="1">
      <alignment horizontal="center"/>
    </xf>
    <xf numFmtId="15" fontId="6" fillId="0" borderId="21" xfId="0" applyNumberFormat="1" applyFont="1" applyBorder="1" applyAlignment="1">
      <alignment horizontal="center"/>
    </xf>
    <xf numFmtId="164" fontId="12" fillId="0" borderId="22" xfId="1" applyFont="1" applyBorder="1"/>
    <xf numFmtId="0" fontId="6" fillId="0" borderId="28" xfId="0" applyFont="1" applyBorder="1"/>
    <xf numFmtId="0" fontId="12" fillId="0" borderId="34" xfId="0" applyFont="1" applyBorder="1"/>
    <xf numFmtId="164" fontId="6" fillId="0" borderId="35" xfId="1" applyFont="1" applyBorder="1"/>
    <xf numFmtId="165" fontId="0" fillId="0" borderId="1" xfId="0" applyNumberFormat="1" applyBorder="1" applyAlignment="1">
      <alignment horizontal="center"/>
    </xf>
    <xf numFmtId="17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6" fillId="0" borderId="3" xfId="0" quotePrefix="1" applyFont="1" applyBorder="1"/>
    <xf numFmtId="0" fontId="0" fillId="0" borderId="1" xfId="0" applyBorder="1" applyAlignment="1">
      <alignment horizontal="center" vertical="center"/>
    </xf>
    <xf numFmtId="164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7" fontId="19" fillId="0" borderId="1" xfId="0" applyNumberFormat="1" applyFont="1" applyBorder="1" applyAlignment="1">
      <alignment horizontal="center" vertical="center"/>
    </xf>
    <xf numFmtId="164" fontId="19" fillId="0" borderId="1" xfId="1" applyFont="1" applyFill="1" applyBorder="1" applyAlignment="1">
      <alignment horizontal="center" vertical="center"/>
    </xf>
    <xf numFmtId="10" fontId="19" fillId="0" borderId="1" xfId="1" applyNumberFormat="1" applyFont="1" applyFill="1" applyBorder="1" applyAlignment="1">
      <alignment horizontal="center" vertical="center"/>
    </xf>
    <xf numFmtId="169" fontId="1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left"/>
    </xf>
    <xf numFmtId="0" fontId="12" fillId="3" borderId="9" xfId="0" applyFont="1" applyFill="1" applyBorder="1" applyAlignment="1">
      <alignment horizontal="left"/>
    </xf>
    <xf numFmtId="0" fontId="15" fillId="0" borderId="3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6" xfId="0" applyFont="1" applyBorder="1" applyAlignment="1">
      <alignment horizontal="left" vertical="top" wrapText="1"/>
    </xf>
    <xf numFmtId="0" fontId="15" fillId="0" borderId="8" xfId="0" applyFont="1" applyBorder="1" applyAlignment="1">
      <alignment horizontal="left" vertical="top" wrapText="1"/>
    </xf>
    <xf numFmtId="0" fontId="15" fillId="0" borderId="9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9" fillId="0" borderId="3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" fillId="5" borderId="8" xfId="0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left" vertical="center"/>
    </xf>
  </cellXfs>
  <cellStyles count="9">
    <cellStyle name="Comma" xfId="1" builtinId="3"/>
    <cellStyle name="Comma 3" xfId="3" xr:uid="{AE44F314-1D3D-4622-87CB-6C30FB9C8960}"/>
    <cellStyle name="Normal" xfId="0" builtinId="0"/>
    <cellStyle name="Normal 2" xfId="5" xr:uid="{2592577C-6786-433E-925F-739078C9E450}"/>
    <cellStyle name="Normal 2 2" xfId="7" xr:uid="{65A2E781-D5A2-4F4C-8E87-E26A6317D662}"/>
    <cellStyle name="Normal 3" xfId="6" xr:uid="{06D07F00-2D4F-4401-B276-065995B60161}"/>
    <cellStyle name="Normal 4" xfId="4" xr:uid="{6BD40D54-5C8A-49B1-8C1A-210E4881016F}"/>
    <cellStyle name="Percent" xfId="2" builtinId="5"/>
    <cellStyle name="ปกติ 2" xfId="8" xr:uid="{83B35881-C892-4F14-BF4E-19B2EB4273B5}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8</xdr:row>
      <xdr:rowOff>95250</xdr:rowOff>
    </xdr:from>
    <xdr:to>
      <xdr:col>0</xdr:col>
      <xdr:colOff>523875</xdr:colOff>
      <xdr:row>9</xdr:row>
      <xdr:rowOff>114300</xdr:rowOff>
    </xdr:to>
    <xdr:sp macro="" textlink="">
      <xdr:nvSpPr>
        <xdr:cNvPr id="2" name="Text 1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5250" y="2038350"/>
          <a:ext cx="428625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41148" rIns="0" bIns="0" anchor="t" upright="1"/>
        <a:lstStyle/>
        <a:p>
          <a:pPr algn="l" rtl="0">
            <a:defRPr sz="1000"/>
          </a:pPr>
          <a:r>
            <a: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ลำดับที่</a:t>
          </a:r>
        </a:p>
      </xdr:txBody>
    </xdr:sp>
    <xdr:clientData/>
  </xdr:twoCellAnchor>
  <xdr:twoCellAnchor>
    <xdr:from>
      <xdr:col>1</xdr:col>
      <xdr:colOff>990600</xdr:colOff>
      <xdr:row>8</xdr:row>
      <xdr:rowOff>104775</xdr:rowOff>
    </xdr:from>
    <xdr:to>
      <xdr:col>2</xdr:col>
      <xdr:colOff>123825</xdr:colOff>
      <xdr:row>9</xdr:row>
      <xdr:rowOff>47625</xdr:rowOff>
    </xdr:to>
    <xdr:sp macro="" textlink="">
      <xdr:nvSpPr>
        <xdr:cNvPr id="3" name="Text 16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1590675" y="2047875"/>
          <a:ext cx="3524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41148" rIns="0" bIns="0" anchor="t" upright="1"/>
        <a:lstStyle/>
        <a:p>
          <a:pPr algn="l" rtl="0">
            <a:defRPr sz="1000"/>
          </a:pPr>
          <a:r>
            <a: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ในแบบ</a:t>
          </a:r>
        </a:p>
      </xdr:txBody>
    </xdr:sp>
    <xdr:clientData/>
  </xdr:twoCellAnchor>
  <xdr:twoCellAnchor>
    <xdr:from>
      <xdr:col>6</xdr:col>
      <xdr:colOff>114300</xdr:colOff>
      <xdr:row>0</xdr:row>
      <xdr:rowOff>57150</xdr:rowOff>
    </xdr:from>
    <xdr:to>
      <xdr:col>6</xdr:col>
      <xdr:colOff>647700</xdr:colOff>
      <xdr:row>1</xdr:row>
      <xdr:rowOff>85725</xdr:rowOff>
    </xdr:to>
    <xdr:sp macro="" textlink="">
      <xdr:nvSpPr>
        <xdr:cNvPr id="4" name="Text 10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6219825" y="57150"/>
          <a:ext cx="5334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50292" rIns="27432" bIns="0" anchor="t" upright="1"/>
        <a:lstStyle/>
        <a:p>
          <a:pPr algn="ctr" rtl="0">
            <a:defRPr sz="1000"/>
          </a:pPr>
          <a:r>
            <a:rPr lang="th-TH" sz="14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ฉบับที่ 1</a:t>
          </a:r>
        </a:p>
        <a:p>
          <a:pPr algn="ctr" rtl="0">
            <a:defRPr sz="1000"/>
          </a:pPr>
          <a:endParaRPr lang="th-TH" sz="1400" b="0" i="0" u="none" strike="noStrike" baseline="0">
            <a:solidFill>
              <a:srgbClr val="000000"/>
            </a:solidFill>
            <a:latin typeface="Cordia New" panose="020B0304020202020204" pitchFamily="34" charset="-34"/>
            <a:cs typeface="Cordia New" panose="020B0304020202020204" pitchFamily="34" charset="-34"/>
          </a:endParaRPr>
        </a:p>
      </xdr:txBody>
    </xdr:sp>
    <xdr:clientData/>
  </xdr:twoCellAnchor>
  <xdr:twoCellAnchor>
    <xdr:from>
      <xdr:col>1</xdr:col>
      <xdr:colOff>342900</xdr:colOff>
      <xdr:row>8</xdr:row>
      <xdr:rowOff>104775</xdr:rowOff>
    </xdr:from>
    <xdr:to>
      <xdr:col>1</xdr:col>
      <xdr:colOff>857250</xdr:colOff>
      <xdr:row>9</xdr:row>
      <xdr:rowOff>133350</xdr:rowOff>
    </xdr:to>
    <xdr:sp macro="" textlink="">
      <xdr:nvSpPr>
        <xdr:cNvPr id="5" name="Rectangle 31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942975" y="2047875"/>
          <a:ext cx="5143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28575</xdr:colOff>
      <xdr:row>19</xdr:row>
      <xdr:rowOff>47625</xdr:rowOff>
    </xdr:from>
    <xdr:to>
      <xdr:col>1</xdr:col>
      <xdr:colOff>142875</xdr:colOff>
      <xdr:row>19</xdr:row>
      <xdr:rowOff>152400</xdr:rowOff>
    </xdr:to>
    <xdr:sp macro="" textlink="">
      <xdr:nvSpPr>
        <xdr:cNvPr id="19" name="Rectangle 112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628650" y="4695825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20</xdr:row>
      <xdr:rowOff>47625</xdr:rowOff>
    </xdr:from>
    <xdr:to>
      <xdr:col>1</xdr:col>
      <xdr:colOff>142875</xdr:colOff>
      <xdr:row>20</xdr:row>
      <xdr:rowOff>152400</xdr:rowOff>
    </xdr:to>
    <xdr:sp macro="" textlink="">
      <xdr:nvSpPr>
        <xdr:cNvPr id="20" name="Rectangle 113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628650" y="4933950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21</xdr:row>
      <xdr:rowOff>47625</xdr:rowOff>
    </xdr:from>
    <xdr:to>
      <xdr:col>1</xdr:col>
      <xdr:colOff>142875</xdr:colOff>
      <xdr:row>21</xdr:row>
      <xdr:rowOff>152400</xdr:rowOff>
    </xdr:to>
    <xdr:sp macro="" textlink="">
      <xdr:nvSpPr>
        <xdr:cNvPr id="21" name="Rectangle 114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628650" y="5172075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22</xdr:row>
      <xdr:rowOff>47625</xdr:rowOff>
    </xdr:from>
    <xdr:to>
      <xdr:col>1</xdr:col>
      <xdr:colOff>142875</xdr:colOff>
      <xdr:row>22</xdr:row>
      <xdr:rowOff>152400</xdr:rowOff>
    </xdr:to>
    <xdr:sp macro="" textlink="">
      <xdr:nvSpPr>
        <xdr:cNvPr id="22" name="Rectangle 115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628650" y="5410200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104775</xdr:colOff>
      <xdr:row>40</xdr:row>
      <xdr:rowOff>28575</xdr:rowOff>
    </xdr:from>
    <xdr:to>
      <xdr:col>4</xdr:col>
      <xdr:colOff>247650</xdr:colOff>
      <xdr:row>41</xdr:row>
      <xdr:rowOff>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704850" y="9477375"/>
          <a:ext cx="4086225" cy="209550"/>
          <a:chOff x="752475" y="8934450"/>
          <a:chExt cx="4086225" cy="171450"/>
        </a:xfrm>
      </xdr:grpSpPr>
      <xdr:sp macro="" textlink="">
        <xdr:nvSpPr>
          <xdr:cNvPr id="24" name="Rectangle 312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752475" y="8934450"/>
            <a:ext cx="171450" cy="17145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2028825" y="8934450"/>
            <a:ext cx="2809875" cy="171450"/>
            <a:chOff x="2028825" y="8934450"/>
            <a:chExt cx="2809875" cy="171450"/>
          </a:xfrm>
        </xdr:grpSpPr>
        <xdr:sp macro="" textlink="">
          <xdr:nvSpPr>
            <xdr:cNvPr id="26" name="Rectangle 312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28825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27" name="Rectangle 312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33750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28" name="Rectangle 312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67250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0</xdr:col>
      <xdr:colOff>95250</xdr:colOff>
      <xdr:row>54</xdr:row>
      <xdr:rowOff>95250</xdr:rowOff>
    </xdr:from>
    <xdr:to>
      <xdr:col>0</xdr:col>
      <xdr:colOff>523875</xdr:colOff>
      <xdr:row>55</xdr:row>
      <xdr:rowOff>114300</xdr:rowOff>
    </xdr:to>
    <xdr:sp macro="" textlink="">
      <xdr:nvSpPr>
        <xdr:cNvPr id="29" name="Text 14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95250" y="12925425"/>
          <a:ext cx="4286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41148" rIns="0" bIns="0" anchor="t" upright="1"/>
        <a:lstStyle/>
        <a:p>
          <a:pPr algn="l" rtl="0">
            <a:defRPr sz="1000"/>
          </a:pPr>
          <a:r>
            <a: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ลำดับที่</a:t>
          </a:r>
        </a:p>
      </xdr:txBody>
    </xdr:sp>
    <xdr:clientData/>
  </xdr:twoCellAnchor>
  <xdr:twoCellAnchor>
    <xdr:from>
      <xdr:col>1</xdr:col>
      <xdr:colOff>990600</xdr:colOff>
      <xdr:row>54</xdr:row>
      <xdr:rowOff>104775</xdr:rowOff>
    </xdr:from>
    <xdr:to>
      <xdr:col>2</xdr:col>
      <xdr:colOff>123825</xdr:colOff>
      <xdr:row>55</xdr:row>
      <xdr:rowOff>123825</xdr:rowOff>
    </xdr:to>
    <xdr:sp macro="" textlink="">
      <xdr:nvSpPr>
        <xdr:cNvPr id="30" name="Text 16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>
          <a:spLocks noChangeArrowheads="1"/>
        </xdr:cNvSpPr>
      </xdr:nvSpPr>
      <xdr:spPr bwMode="auto">
        <a:xfrm>
          <a:off x="1590675" y="12934950"/>
          <a:ext cx="3524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41148" rIns="0" bIns="0" anchor="t" upright="1"/>
        <a:lstStyle/>
        <a:p>
          <a:pPr algn="l" rtl="0">
            <a:defRPr sz="1000"/>
          </a:pPr>
          <a:r>
            <a: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ในแบบ</a:t>
          </a:r>
        </a:p>
      </xdr:txBody>
    </xdr:sp>
    <xdr:clientData/>
  </xdr:twoCellAnchor>
  <xdr:twoCellAnchor>
    <xdr:from>
      <xdr:col>6</xdr:col>
      <xdr:colOff>114300</xdr:colOff>
      <xdr:row>46</xdr:row>
      <xdr:rowOff>57150</xdr:rowOff>
    </xdr:from>
    <xdr:to>
      <xdr:col>6</xdr:col>
      <xdr:colOff>647700</xdr:colOff>
      <xdr:row>47</xdr:row>
      <xdr:rowOff>85725</xdr:rowOff>
    </xdr:to>
    <xdr:sp macro="" textlink="">
      <xdr:nvSpPr>
        <xdr:cNvPr id="31" name="Text 104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>
          <a:spLocks noChangeArrowheads="1"/>
        </xdr:cNvSpPr>
      </xdr:nvSpPr>
      <xdr:spPr bwMode="auto">
        <a:xfrm>
          <a:off x="6219825" y="10944225"/>
          <a:ext cx="5334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50292" rIns="27432" bIns="0" anchor="t" upright="1"/>
        <a:lstStyle/>
        <a:p>
          <a:pPr algn="ctr" rtl="0">
            <a:defRPr sz="1000"/>
          </a:pPr>
          <a:r>
            <a:rPr lang="th-TH" sz="14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ฉบับที่ </a:t>
          </a:r>
          <a:r>
            <a:rPr lang="en-US" sz="14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2</a:t>
          </a:r>
          <a:endParaRPr lang="th-TH" sz="1400" b="0" i="0" u="none" strike="noStrike" baseline="0">
            <a:solidFill>
              <a:srgbClr val="000000"/>
            </a:solidFill>
            <a:latin typeface="Cordia New" panose="020B0304020202020204" pitchFamily="34" charset="-34"/>
            <a:cs typeface="Cordia New" panose="020B0304020202020204" pitchFamily="34" charset="-34"/>
          </a:endParaRPr>
        </a:p>
        <a:p>
          <a:pPr algn="ctr" rtl="0">
            <a:defRPr sz="1000"/>
          </a:pPr>
          <a:endParaRPr lang="th-TH" sz="1400" b="0" i="0" u="none" strike="noStrike" baseline="0">
            <a:solidFill>
              <a:srgbClr val="000000"/>
            </a:solidFill>
            <a:latin typeface="Cordia New" panose="020B0304020202020204" pitchFamily="34" charset="-34"/>
            <a:cs typeface="Cordia New" panose="020B0304020202020204" pitchFamily="34" charset="-34"/>
          </a:endParaRPr>
        </a:p>
      </xdr:txBody>
    </xdr:sp>
    <xdr:clientData/>
  </xdr:twoCellAnchor>
  <xdr:twoCellAnchor>
    <xdr:from>
      <xdr:col>1</xdr:col>
      <xdr:colOff>342900</xdr:colOff>
      <xdr:row>54</xdr:row>
      <xdr:rowOff>104775</xdr:rowOff>
    </xdr:from>
    <xdr:to>
      <xdr:col>1</xdr:col>
      <xdr:colOff>857250</xdr:colOff>
      <xdr:row>55</xdr:row>
      <xdr:rowOff>133350</xdr:rowOff>
    </xdr:to>
    <xdr:sp macro="" textlink="">
      <xdr:nvSpPr>
        <xdr:cNvPr id="32" name="Rectangle 312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rrowheads="1"/>
        </xdr:cNvSpPr>
      </xdr:nvSpPr>
      <xdr:spPr bwMode="auto">
        <a:xfrm>
          <a:off x="942975" y="12934950"/>
          <a:ext cx="514350" cy="2667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28575</xdr:colOff>
      <xdr:row>65</xdr:row>
      <xdr:rowOff>47625</xdr:rowOff>
    </xdr:from>
    <xdr:to>
      <xdr:col>1</xdr:col>
      <xdr:colOff>142875</xdr:colOff>
      <xdr:row>65</xdr:row>
      <xdr:rowOff>152400</xdr:rowOff>
    </xdr:to>
    <xdr:sp macro="" textlink="">
      <xdr:nvSpPr>
        <xdr:cNvPr id="33" name="Rectangle 11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628650" y="15563850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66</xdr:row>
      <xdr:rowOff>47625</xdr:rowOff>
    </xdr:from>
    <xdr:to>
      <xdr:col>1</xdr:col>
      <xdr:colOff>142875</xdr:colOff>
      <xdr:row>66</xdr:row>
      <xdr:rowOff>152400</xdr:rowOff>
    </xdr:to>
    <xdr:sp macro="" textlink="">
      <xdr:nvSpPr>
        <xdr:cNvPr id="34" name="Rectangle 11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rrowheads="1"/>
        </xdr:cNvSpPr>
      </xdr:nvSpPr>
      <xdr:spPr bwMode="auto">
        <a:xfrm>
          <a:off x="628650" y="15801975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67</xdr:row>
      <xdr:rowOff>47625</xdr:rowOff>
    </xdr:from>
    <xdr:to>
      <xdr:col>1</xdr:col>
      <xdr:colOff>142875</xdr:colOff>
      <xdr:row>67</xdr:row>
      <xdr:rowOff>152400</xdr:rowOff>
    </xdr:to>
    <xdr:sp macro="" textlink="">
      <xdr:nvSpPr>
        <xdr:cNvPr id="35" name="Rectangle 11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rrowheads="1"/>
        </xdr:cNvSpPr>
      </xdr:nvSpPr>
      <xdr:spPr bwMode="auto">
        <a:xfrm>
          <a:off x="628650" y="16040100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68</xdr:row>
      <xdr:rowOff>47625</xdr:rowOff>
    </xdr:from>
    <xdr:to>
      <xdr:col>1</xdr:col>
      <xdr:colOff>142875</xdr:colOff>
      <xdr:row>68</xdr:row>
      <xdr:rowOff>152400</xdr:rowOff>
    </xdr:to>
    <xdr:sp macro="" textlink="">
      <xdr:nvSpPr>
        <xdr:cNvPr id="36" name="Rectangle 11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rrowheads="1"/>
        </xdr:cNvSpPr>
      </xdr:nvSpPr>
      <xdr:spPr bwMode="auto">
        <a:xfrm>
          <a:off x="628650" y="16278225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104775</xdr:colOff>
      <xdr:row>86</xdr:row>
      <xdr:rowOff>28575</xdr:rowOff>
    </xdr:from>
    <xdr:to>
      <xdr:col>4</xdr:col>
      <xdr:colOff>247650</xdr:colOff>
      <xdr:row>87</xdr:row>
      <xdr:rowOff>0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704850" y="20345400"/>
          <a:ext cx="4086225" cy="209550"/>
          <a:chOff x="752475" y="8934450"/>
          <a:chExt cx="4086225" cy="171450"/>
        </a:xfrm>
      </xdr:grpSpPr>
      <xdr:sp macro="" textlink="">
        <xdr:nvSpPr>
          <xdr:cNvPr id="38" name="Rectangle 312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>
            <a:spLocks noChangeArrowheads="1"/>
          </xdr:cNvSpPr>
        </xdr:nvSpPr>
        <xdr:spPr bwMode="auto">
          <a:xfrm>
            <a:off x="752475" y="8934450"/>
            <a:ext cx="171450" cy="17145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2028825" y="8934450"/>
            <a:ext cx="2809875" cy="171450"/>
            <a:chOff x="2028825" y="8934450"/>
            <a:chExt cx="2809875" cy="171450"/>
          </a:xfrm>
        </xdr:grpSpPr>
        <xdr:sp macro="" textlink="">
          <xdr:nvSpPr>
            <xdr:cNvPr id="40" name="Rectangle 312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28825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1" name="Rectangle 312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33750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2" name="Rectangle 312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67250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2</xdr:col>
      <xdr:colOff>352425</xdr:colOff>
      <xdr:row>54</xdr:row>
      <xdr:rowOff>9525</xdr:rowOff>
    </xdr:from>
    <xdr:to>
      <xdr:col>6</xdr:col>
      <xdr:colOff>790575</xdr:colOff>
      <xdr:row>57</xdr:row>
      <xdr:rowOff>47625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GrpSpPr/>
      </xdr:nvGrpSpPr>
      <xdr:grpSpPr>
        <a:xfrm>
          <a:off x="2171700" y="12801600"/>
          <a:ext cx="4724400" cy="819150"/>
          <a:chOff x="2181225" y="1885950"/>
          <a:chExt cx="4724400" cy="800100"/>
        </a:xfrm>
      </xdr:grpSpPr>
      <xdr:sp macro="" textlink="">
        <xdr:nvSpPr>
          <xdr:cNvPr id="98" name="Text 1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762500" y="1885950"/>
            <a:ext cx="2143125" cy="78105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41148" rIns="0" bIns="0" anchor="t" upright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(3)  ภ.ง.ด. 2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(4)  ภ.ง.ด. 3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(7)  ภ.ง.ด. 53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algn="l" rtl="0"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endParaRPr>
          </a:p>
        </xdr:txBody>
      </xdr:sp>
      <xdr:sp macro="" textlink="">
        <xdr:nvSpPr>
          <xdr:cNvPr id="99" name="Rectangle 312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>
            <a:spLocks noChangeArrowheads="1"/>
          </xdr:cNvSpPr>
        </xdr:nvSpPr>
        <xdr:spPr bwMode="auto">
          <a:xfrm>
            <a:off x="5657850" y="1953290"/>
            <a:ext cx="171450" cy="104775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GrpSpPr/>
        </xdr:nvGrpSpPr>
        <xdr:grpSpPr>
          <a:xfrm>
            <a:off x="2181225" y="1971675"/>
            <a:ext cx="180975" cy="315654"/>
            <a:chOff x="10563225" y="2676525"/>
            <a:chExt cx="180975" cy="315654"/>
          </a:xfrm>
        </xdr:grpSpPr>
        <xdr:sp macro="" textlink="">
          <xdr:nvSpPr>
            <xdr:cNvPr id="108" name="Rectangle 312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09" name="Rectangle 312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72750" y="2887404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sp macro="" textlink="">
        <xdr:nvSpPr>
          <xdr:cNvPr id="101" name="Text 17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514600" y="1885950"/>
            <a:ext cx="2305050" cy="8001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41148" rIns="0" bIns="0" anchor="t" upright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(1)  ภ.ง.ด. 1ก   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(2)  ภ.ง.ด. 1ก พิเศษ </a:t>
            </a:r>
            <a:endParaRPr lang="en-US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5)  ภ.ง.ด. 2ก	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(6)  ภ.ง.ด. 3ก          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algn="l" rtl="0"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endParaRPr>
          </a:p>
        </xdr:txBody>
      </xdr:sp>
      <xdr:grpSp>
        <xdr:nvGrpSpPr>
          <xdr:cNvPr id="102" name="Group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GrpSpPr/>
        </xdr:nvGrpSpPr>
        <xdr:grpSpPr>
          <a:xfrm>
            <a:off x="3352800" y="1971675"/>
            <a:ext cx="171450" cy="334482"/>
            <a:chOff x="10563225" y="2676525"/>
            <a:chExt cx="171450" cy="334482"/>
          </a:xfrm>
        </xdr:grpSpPr>
        <xdr:sp macro="" textlink="">
          <xdr:nvSpPr>
            <xdr:cNvPr id="106" name="Rectangle 312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07" name="Rectangle 312">
              <a:extLst>
                <a:ext uri="{FF2B5EF4-FFF2-40B4-BE49-F238E27FC236}">
                  <a16:creationId xmlns:a16="http://schemas.microsoft.com/office/drawing/2014/main" id="{00000000-0008-0000-0200-00006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906232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103" name="Group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GrpSpPr/>
        </xdr:nvGrpSpPr>
        <xdr:grpSpPr>
          <a:xfrm>
            <a:off x="4543425" y="1971675"/>
            <a:ext cx="171450" cy="325176"/>
            <a:chOff x="10563225" y="2676525"/>
            <a:chExt cx="171450" cy="325176"/>
          </a:xfrm>
        </xdr:grpSpPr>
        <xdr:sp macro="" textlink="">
          <xdr:nvSpPr>
            <xdr:cNvPr id="104" name="Rectangle 312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05" name="Rectangle 312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896926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2</xdr:col>
      <xdr:colOff>314325</xdr:colOff>
      <xdr:row>8</xdr:row>
      <xdr:rowOff>28575</xdr:rowOff>
    </xdr:from>
    <xdr:to>
      <xdr:col>6</xdr:col>
      <xdr:colOff>523875</xdr:colOff>
      <xdr:row>11</xdr:row>
      <xdr:rowOff>43142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GrpSpPr/>
      </xdr:nvGrpSpPr>
      <xdr:grpSpPr>
        <a:xfrm>
          <a:off x="2133600" y="1933575"/>
          <a:ext cx="4495800" cy="814667"/>
          <a:chOff x="2181225" y="1885950"/>
          <a:chExt cx="4499736" cy="800100"/>
        </a:xfrm>
      </xdr:grpSpPr>
      <xdr:sp macro="" textlink="">
        <xdr:nvSpPr>
          <xdr:cNvPr id="74" name="Text 17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762500" y="1885950"/>
            <a:ext cx="1918461" cy="78105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41148" rIns="0" bIns="0" anchor="t" upright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(3)  ภ.ง.ด. 2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(4)  ภ.ง.ด. 3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(7)  ภ.ง.ด. 53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algn="l" rtl="0"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endParaRPr>
          </a:p>
        </xdr:txBody>
      </xdr:sp>
      <xdr:sp macro="" textlink="">
        <xdr:nvSpPr>
          <xdr:cNvPr id="75" name="Rectangle 312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>
            <a:spLocks noChangeArrowheads="1"/>
          </xdr:cNvSpPr>
        </xdr:nvSpPr>
        <xdr:spPr bwMode="auto">
          <a:xfrm>
            <a:off x="5657850" y="1953290"/>
            <a:ext cx="171450" cy="104775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GrpSpPr/>
        </xdr:nvGrpSpPr>
        <xdr:grpSpPr>
          <a:xfrm>
            <a:off x="2181225" y="1971675"/>
            <a:ext cx="180975" cy="315654"/>
            <a:chOff x="10563225" y="2676525"/>
            <a:chExt cx="180975" cy="315654"/>
          </a:xfrm>
        </xdr:grpSpPr>
        <xdr:sp macro="" textlink="">
          <xdr:nvSpPr>
            <xdr:cNvPr id="84" name="Rectangle 312">
              <a:extLst>
                <a:ext uri="{FF2B5EF4-FFF2-40B4-BE49-F238E27FC236}">
                  <a16:creationId xmlns:a16="http://schemas.microsoft.com/office/drawing/2014/main" id="{00000000-0008-0000-0200-00005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85" name="Rectangle 312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72750" y="2887404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sp macro="" textlink="">
        <xdr:nvSpPr>
          <xdr:cNvPr id="77" name="Text 17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514600" y="1885950"/>
            <a:ext cx="2305050" cy="8001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41148" rIns="0" bIns="0" anchor="t" upright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(1)  ภ.ง.ด. 1ก   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(2)  ภ.ง.ด. 1ก พิเศษ </a:t>
            </a:r>
            <a:endParaRPr lang="en-US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5)  ภ.ง.ด. 2ก	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(6)  ภ.ง.ด. 3ก          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algn="l" rtl="0"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endParaRPr>
          </a:p>
        </xdr:txBody>
      </xdr: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3352800" y="1971675"/>
            <a:ext cx="171450" cy="334482"/>
            <a:chOff x="10563225" y="2676525"/>
            <a:chExt cx="171450" cy="334482"/>
          </a:xfrm>
        </xdr:grpSpPr>
        <xdr:sp macro="" textlink="">
          <xdr:nvSpPr>
            <xdr:cNvPr id="82" name="Rectangle 312">
              <a:extLst>
                <a:ext uri="{FF2B5EF4-FFF2-40B4-BE49-F238E27FC236}">
                  <a16:creationId xmlns:a16="http://schemas.microsoft.com/office/drawing/2014/main" id="{00000000-0008-0000-0200-00005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83" name="Rectangle 31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906232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79" name="Group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GrpSpPr/>
        </xdr:nvGrpSpPr>
        <xdr:grpSpPr>
          <a:xfrm>
            <a:off x="4543425" y="1971675"/>
            <a:ext cx="171450" cy="325176"/>
            <a:chOff x="10563225" y="2676525"/>
            <a:chExt cx="171450" cy="325176"/>
          </a:xfrm>
        </xdr:grpSpPr>
        <xdr:sp macro="" textlink="">
          <xdr:nvSpPr>
            <xdr:cNvPr id="80" name="Rectangle 312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81" name="Rectangle 312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896926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103</xdr:row>
          <xdr:rowOff>0</xdr:rowOff>
        </xdr:from>
        <xdr:to>
          <xdr:col>2</xdr:col>
          <xdr:colOff>0</xdr:colOff>
          <xdr:row>104</xdr:row>
          <xdr:rowOff>0</xdr:rowOff>
        </xdr:to>
        <xdr:sp macro="" textlink="">
          <xdr:nvSpPr>
            <xdr:cNvPr id="11307" name="Button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3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Export53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1308" name="Button 44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00000000-0008-0000-0300-00002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Export03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8DD9C-5D50-4CD2-BAA4-550F431D44BF}">
  <sheetPr codeName="Sheet2"/>
  <dimension ref="A1:A2"/>
  <sheetViews>
    <sheetView tabSelected="1" workbookViewId="0">
      <selection activeCell="C3" sqref="C3"/>
    </sheetView>
    <sheetView tabSelected="1" workbookViewId="1">
      <selection activeCell="A2" sqref="A2"/>
    </sheetView>
  </sheetViews>
  <sheetFormatPr defaultRowHeight="15"/>
  <sheetData>
    <row r="1" spans="1:1" ht="31.5" customHeight="1"/>
    <row r="2" spans="1:1" ht="21">
      <c r="A2" s="120" t="s">
        <v>278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FileandImport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5288F-2428-4F62-BE76-285C9AE5EFDF}">
  <sheetPr codeName="Sheet3"/>
  <dimension ref="A1:X60"/>
  <sheetViews>
    <sheetView workbookViewId="0">
      <selection activeCell="B61" sqref="B61"/>
    </sheetView>
    <sheetView zoomScaleNormal="100" workbookViewId="1">
      <selection activeCell="X1" sqref="X1"/>
    </sheetView>
  </sheetViews>
  <sheetFormatPr defaultRowHeight="15" outlineLevelCol="1"/>
  <cols>
    <col min="1" max="1" width="3.7109375" bestFit="1" customWidth="1"/>
    <col min="2" max="2" width="8" bestFit="1" customWidth="1"/>
    <col min="3" max="3" width="49" bestFit="1" customWidth="1"/>
    <col min="4" max="4" width="57" bestFit="1" customWidth="1"/>
    <col min="5" max="5" width="14.140625" bestFit="1" customWidth="1"/>
    <col min="6" max="6" width="5.140625" bestFit="1" customWidth="1"/>
    <col min="7" max="7" width="11.28515625" bestFit="1" customWidth="1"/>
    <col min="8" max="8" width="9.42578125" bestFit="1" customWidth="1"/>
    <col min="9" max="9" width="10.5703125" bestFit="1" customWidth="1"/>
    <col min="10" max="10" width="7.28515625" bestFit="1" customWidth="1"/>
    <col min="11" max="11" width="12.140625" customWidth="1"/>
    <col min="13" max="23" width="9.140625" hidden="1" customWidth="1" outlineLevel="1"/>
    <col min="24" max="24" width="9.140625" collapsed="1"/>
  </cols>
  <sheetData>
    <row r="1" spans="1:24" ht="39" customHeight="1">
      <c r="C1" s="121" t="s">
        <v>279</v>
      </c>
      <c r="X1" t="s">
        <v>280</v>
      </c>
    </row>
    <row r="2" spans="1:24" ht="21.7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77" t="s">
        <v>5</v>
      </c>
      <c r="G2" s="77" t="s">
        <v>6</v>
      </c>
      <c r="H2" s="78" t="s">
        <v>7</v>
      </c>
      <c r="I2" s="4" t="s">
        <v>8</v>
      </c>
      <c r="J2" s="5" t="s">
        <v>9</v>
      </c>
      <c r="K2" s="4" t="s">
        <v>10</v>
      </c>
      <c r="M2" t="s">
        <v>228</v>
      </c>
      <c r="N2" t="s">
        <v>228</v>
      </c>
      <c r="O2" t="s">
        <v>228</v>
      </c>
      <c r="P2" t="s">
        <v>228</v>
      </c>
      <c r="Q2" t="s">
        <v>228</v>
      </c>
      <c r="R2" t="s">
        <v>228</v>
      </c>
      <c r="T2" t="s">
        <v>228</v>
      </c>
      <c r="U2" t="s">
        <v>228</v>
      </c>
      <c r="V2" t="s">
        <v>228</v>
      </c>
    </row>
    <row r="3" spans="1:24" ht="21.75">
      <c r="A3" s="79">
        <v>1</v>
      </c>
      <c r="B3" s="1">
        <v>2101001</v>
      </c>
      <c r="C3" s="1" t="str">
        <f t="shared" ref="C3:C34" ca="1" si="0">M3&amp;Q3&amp;" "&amp;IF(N3="",R3&amp;LEFT(BAHTTEXT(O3),LEN(BAHTTEXT(O3))-7),O3&amp;" "&amp;N3)</f>
        <v>บริษัท ตัวอย่าง 36 จำกัด</v>
      </c>
      <c r="D3" s="80" t="s">
        <v>74</v>
      </c>
      <c r="E3" s="80" t="s">
        <v>163</v>
      </c>
      <c r="F3" s="2">
        <f t="shared" ref="F3" ca="1" si="1">IF(OR(M3="นาย ",M3="นาง "),3,53)</f>
        <v>53</v>
      </c>
      <c r="G3" s="2" t="s">
        <v>11</v>
      </c>
      <c r="H3" s="78">
        <v>44133</v>
      </c>
      <c r="I3" s="6">
        <f ca="1">RANDBETWEEN(2000,50000)</f>
        <v>10553</v>
      </c>
      <c r="J3" s="3">
        <v>0.03</v>
      </c>
      <c r="K3" s="6">
        <f ca="1">RANDBETWEEN(2000,50000)</f>
        <v>38255</v>
      </c>
      <c r="M3" t="str">
        <f ca="1">IF(MOD(O3,2)=0,"บริษัท ",IF(MOD(P3,2)=0,"นาย ","นาง "))</f>
        <v xml:space="preserve">บริษัท </v>
      </c>
      <c r="N3" t="str">
        <f ca="1">IF(MOD(O3,2)=0,"จำกัด","")</f>
        <v>จำกัด</v>
      </c>
      <c r="O3">
        <f ca="1">RANDBETWEEN(1,100)</f>
        <v>36</v>
      </c>
      <c r="P3">
        <f ca="1">RANDBETWEEN(1,4)</f>
        <v>1</v>
      </c>
      <c r="Q3" t="str">
        <f t="shared" ref="Q3:Q34" ca="1" si="2">_xlfn.XLOOKUP(P3,$T$3:$T$6,$U$3:$U$6)</f>
        <v>ตัวอย่าง</v>
      </c>
      <c r="R3" t="str">
        <f t="shared" ref="R3:R34" ca="1" si="3">_xlfn.XLOOKUP(P3,$T$3:$T$6,$V$3:$V$6)</f>
        <v>สงเจริญ</v>
      </c>
      <c r="T3">
        <v>1</v>
      </c>
      <c r="U3" t="s">
        <v>220</v>
      </c>
      <c r="V3" t="s">
        <v>224</v>
      </c>
    </row>
    <row r="4" spans="1:24" ht="21.75">
      <c r="A4" s="79">
        <v>2</v>
      </c>
      <c r="B4" s="1">
        <v>2101002</v>
      </c>
      <c r="C4" s="1" t="str">
        <f t="shared" ca="1" si="0"/>
        <v>บริษัท อยากจะรวย 50 จำกัด</v>
      </c>
      <c r="D4" s="80" t="s">
        <v>75</v>
      </c>
      <c r="E4" s="80" t="s">
        <v>164</v>
      </c>
      <c r="F4" s="2">
        <f ca="1">IF(OR(M4="นาย ",M4="นาง "),3,53)</f>
        <v>53</v>
      </c>
      <c r="G4" s="2" t="s">
        <v>11</v>
      </c>
      <c r="H4" s="78">
        <v>44178</v>
      </c>
      <c r="I4" s="6">
        <f t="shared" ref="I4:I60" ca="1" si="4">RANDBETWEEN(2000,50000)</f>
        <v>44989</v>
      </c>
      <c r="J4" s="3">
        <v>0.03</v>
      </c>
      <c r="K4" s="4">
        <f t="shared" ref="K4:K60" ca="1" si="5">I4*J4</f>
        <v>1349.6699999999998</v>
      </c>
      <c r="M4" t="str">
        <f t="shared" ref="M4:M60" ca="1" si="6">IF(MOD(O4,2)=0,"บริษัท ",IF(MOD(P4,2)=0,"นาย ","นาง "))</f>
        <v xml:space="preserve">บริษัท </v>
      </c>
      <c r="N4" t="str">
        <f t="shared" ref="N4:N60" ca="1" si="7">IF(MOD(O4,2)=0,"จำกัด","")</f>
        <v>จำกัด</v>
      </c>
      <c r="O4">
        <f t="shared" ref="O4:O60" ca="1" si="8">RANDBETWEEN(1,100)</f>
        <v>50</v>
      </c>
      <c r="P4">
        <f t="shared" ref="P4:P60" ca="1" si="9">RANDBETWEEN(1,4)</f>
        <v>2</v>
      </c>
      <c r="Q4" t="str">
        <f t="shared" ca="1" si="2"/>
        <v>อยากจะรวย</v>
      </c>
      <c r="R4" t="str">
        <f t="shared" ca="1" si="3"/>
        <v>อาคมแรง</v>
      </c>
      <c r="T4">
        <v>2</v>
      </c>
      <c r="U4" t="s">
        <v>221</v>
      </c>
      <c r="V4" t="s">
        <v>225</v>
      </c>
    </row>
    <row r="5" spans="1:24" ht="21.75">
      <c r="A5" s="79">
        <v>3</v>
      </c>
      <c r="B5" s="1">
        <v>2101003</v>
      </c>
      <c r="C5" s="1" t="str">
        <f t="shared" ca="1" si="0"/>
        <v>บริษัท ตัวอย่าง 60 จำกัด</v>
      </c>
      <c r="D5" s="80" t="s">
        <v>76</v>
      </c>
      <c r="E5" s="80" t="s">
        <v>165</v>
      </c>
      <c r="F5" s="2">
        <f t="shared" ref="F5:F60" ca="1" si="10">IF(OR(M5="นาย ",M5="นาง "),3,53)</f>
        <v>53</v>
      </c>
      <c r="G5" s="2" t="s">
        <v>11</v>
      </c>
      <c r="H5" s="78">
        <v>44216</v>
      </c>
      <c r="I5" s="6">
        <f t="shared" ca="1" si="4"/>
        <v>31169</v>
      </c>
      <c r="J5" s="3">
        <v>0.03</v>
      </c>
      <c r="K5" s="4">
        <f t="shared" ca="1" si="5"/>
        <v>935.06999999999994</v>
      </c>
      <c r="M5" t="str">
        <f t="shared" ca="1" si="6"/>
        <v xml:space="preserve">บริษัท </v>
      </c>
      <c r="N5" t="str">
        <f t="shared" ca="1" si="7"/>
        <v>จำกัด</v>
      </c>
      <c r="O5">
        <f t="shared" ca="1" si="8"/>
        <v>60</v>
      </c>
      <c r="P5">
        <f t="shared" ca="1" si="9"/>
        <v>1</v>
      </c>
      <c r="Q5" t="str">
        <f t="shared" ca="1" si="2"/>
        <v>ตัวอย่าง</v>
      </c>
      <c r="R5" t="str">
        <f t="shared" ca="1" si="3"/>
        <v>สงเจริญ</v>
      </c>
      <c r="T5">
        <v>3</v>
      </c>
      <c r="U5" t="s">
        <v>222</v>
      </c>
      <c r="V5" t="s">
        <v>226</v>
      </c>
    </row>
    <row r="6" spans="1:24" ht="21.75">
      <c r="A6" s="79">
        <v>4</v>
      </c>
      <c r="B6" s="1">
        <v>2101004</v>
      </c>
      <c r="C6" s="1" t="str">
        <f t="shared" ca="1" si="0"/>
        <v>บริษัท พิ่งเปิด 100 จำกัด</v>
      </c>
      <c r="D6" s="80" t="s">
        <v>77</v>
      </c>
      <c r="E6" s="80" t="s">
        <v>166</v>
      </c>
      <c r="F6" s="2">
        <f t="shared" ca="1" si="10"/>
        <v>53</v>
      </c>
      <c r="G6" s="2" t="s">
        <v>11</v>
      </c>
      <c r="H6" s="78">
        <v>44074</v>
      </c>
      <c r="I6" s="6">
        <f t="shared" ca="1" si="4"/>
        <v>33811</v>
      </c>
      <c r="J6" s="3">
        <v>0.03</v>
      </c>
      <c r="K6" s="4">
        <f t="shared" ca="1" si="5"/>
        <v>1014.3299999999999</v>
      </c>
      <c r="M6" t="str">
        <f t="shared" ca="1" si="6"/>
        <v xml:space="preserve">บริษัท </v>
      </c>
      <c r="N6" t="str">
        <f t="shared" ca="1" si="7"/>
        <v>จำกัด</v>
      </c>
      <c r="O6">
        <f t="shared" ca="1" si="8"/>
        <v>100</v>
      </c>
      <c r="P6">
        <f t="shared" ca="1" si="9"/>
        <v>4</v>
      </c>
      <c r="Q6" t="str">
        <f t="shared" ca="1" si="2"/>
        <v>พิ่งเปิด</v>
      </c>
      <c r="R6" t="str">
        <f t="shared" ca="1" si="3"/>
        <v>มาคงสัย</v>
      </c>
      <c r="T6">
        <v>4</v>
      </c>
      <c r="U6" t="s">
        <v>223</v>
      </c>
      <c r="V6" t="s">
        <v>227</v>
      </c>
    </row>
    <row r="7" spans="1:24" ht="21.75">
      <c r="A7" s="79">
        <v>5</v>
      </c>
      <c r="B7" s="1">
        <v>2101005</v>
      </c>
      <c r="C7" s="1" t="str">
        <f t="shared" ca="1" si="0"/>
        <v>บริษัท พิ่งเปิด 62 จำกัด</v>
      </c>
      <c r="D7" s="80" t="s">
        <v>78</v>
      </c>
      <c r="E7" s="80" t="s">
        <v>167</v>
      </c>
      <c r="F7" s="2">
        <f t="shared" ca="1" si="10"/>
        <v>53</v>
      </c>
      <c r="G7" s="2" t="s">
        <v>11</v>
      </c>
      <c r="H7" s="78">
        <v>43599</v>
      </c>
      <c r="I7" s="6">
        <f t="shared" ca="1" si="4"/>
        <v>42611</v>
      </c>
      <c r="J7" s="3">
        <v>0.03</v>
      </c>
      <c r="K7" s="4">
        <f t="shared" ca="1" si="5"/>
        <v>1278.33</v>
      </c>
      <c r="M7" t="str">
        <f t="shared" ca="1" si="6"/>
        <v xml:space="preserve">บริษัท </v>
      </c>
      <c r="N7" t="str">
        <f t="shared" ca="1" si="7"/>
        <v>จำกัด</v>
      </c>
      <c r="O7">
        <f t="shared" ca="1" si="8"/>
        <v>62</v>
      </c>
      <c r="P7">
        <f t="shared" ca="1" si="9"/>
        <v>4</v>
      </c>
      <c r="Q7" t="str">
        <f t="shared" ca="1" si="2"/>
        <v>พิ่งเปิด</v>
      </c>
      <c r="R7" t="str">
        <f t="shared" ca="1" si="3"/>
        <v>มาคงสัย</v>
      </c>
    </row>
    <row r="8" spans="1:24" ht="21.75">
      <c r="A8" s="79">
        <v>6</v>
      </c>
      <c r="B8" s="1">
        <v>2101006</v>
      </c>
      <c r="C8" s="1" t="str">
        <f t="shared" ca="1" si="0"/>
        <v>บริษัท ตัวอย่าง 60 จำกัด</v>
      </c>
      <c r="D8" s="80" t="s">
        <v>79</v>
      </c>
      <c r="E8" s="80" t="s">
        <v>168</v>
      </c>
      <c r="F8" s="2">
        <f t="shared" ca="1" si="10"/>
        <v>53</v>
      </c>
      <c r="G8" s="2" t="s">
        <v>11</v>
      </c>
      <c r="H8" s="78">
        <v>43693</v>
      </c>
      <c r="I8" s="6">
        <f t="shared" ca="1" si="4"/>
        <v>45670</v>
      </c>
      <c r="J8" s="3">
        <v>0.03</v>
      </c>
      <c r="K8" s="4">
        <f t="shared" ca="1" si="5"/>
        <v>1370.1</v>
      </c>
      <c r="M8" t="str">
        <f t="shared" ca="1" si="6"/>
        <v xml:space="preserve">บริษัท </v>
      </c>
      <c r="N8" t="str">
        <f t="shared" ca="1" si="7"/>
        <v>จำกัด</v>
      </c>
      <c r="O8">
        <f t="shared" ca="1" si="8"/>
        <v>60</v>
      </c>
      <c r="P8">
        <f t="shared" ca="1" si="9"/>
        <v>1</v>
      </c>
      <c r="Q8" t="str">
        <f t="shared" ca="1" si="2"/>
        <v>ตัวอย่าง</v>
      </c>
      <c r="R8" t="str">
        <f t="shared" ca="1" si="3"/>
        <v>สงเจริญ</v>
      </c>
    </row>
    <row r="9" spans="1:24" ht="21.75">
      <c r="A9" s="79">
        <v>7</v>
      </c>
      <c r="B9" s="1">
        <v>2101007</v>
      </c>
      <c r="C9" s="1" t="str">
        <f t="shared" ca="1" si="0"/>
        <v>นาย อยากจะรวย อาคมแรงห้าสิบสาม</v>
      </c>
      <c r="D9" s="80" t="s">
        <v>80</v>
      </c>
      <c r="E9" s="80" t="s">
        <v>169</v>
      </c>
      <c r="F9" s="2">
        <f t="shared" ca="1" si="10"/>
        <v>3</v>
      </c>
      <c r="G9" s="2" t="s">
        <v>11</v>
      </c>
      <c r="H9" s="76">
        <v>43756</v>
      </c>
      <c r="I9" s="6">
        <f t="shared" ca="1" si="4"/>
        <v>32728</v>
      </c>
      <c r="J9" s="3">
        <v>0.03</v>
      </c>
      <c r="K9" s="4">
        <f t="shared" ca="1" si="5"/>
        <v>981.83999999999992</v>
      </c>
      <c r="M9" t="str">
        <f t="shared" ca="1" si="6"/>
        <v xml:space="preserve">นาย </v>
      </c>
      <c r="N9" t="str">
        <f t="shared" ca="1" si="7"/>
        <v/>
      </c>
      <c r="O9">
        <f t="shared" ca="1" si="8"/>
        <v>53</v>
      </c>
      <c r="P9">
        <f t="shared" ca="1" si="9"/>
        <v>2</v>
      </c>
      <c r="Q9" t="str">
        <f t="shared" ca="1" si="2"/>
        <v>อยากจะรวย</v>
      </c>
      <c r="R9" t="str">
        <f t="shared" ca="1" si="3"/>
        <v>อาคมแรง</v>
      </c>
    </row>
    <row r="10" spans="1:24" ht="21.75">
      <c r="A10" s="79">
        <v>8</v>
      </c>
      <c r="B10" s="1">
        <v>2101008</v>
      </c>
      <c r="C10" s="1" t="str">
        <f t="shared" ca="1" si="0"/>
        <v>นาง ซื้อแล้วรวย โตแล้วโตแปดสิบเอ็ด</v>
      </c>
      <c r="D10" s="80" t="s">
        <v>81</v>
      </c>
      <c r="E10" s="80" t="s">
        <v>170</v>
      </c>
      <c r="F10" s="2">
        <f t="shared" ca="1" si="10"/>
        <v>3</v>
      </c>
      <c r="G10" s="2" t="s">
        <v>11</v>
      </c>
      <c r="H10" s="78">
        <v>43986</v>
      </c>
      <c r="I10" s="6">
        <f t="shared" ca="1" si="4"/>
        <v>24965</v>
      </c>
      <c r="J10" s="3">
        <v>0.03</v>
      </c>
      <c r="K10" s="4">
        <f t="shared" ca="1" si="5"/>
        <v>748.94999999999993</v>
      </c>
      <c r="M10" t="str">
        <f t="shared" ca="1" si="6"/>
        <v xml:space="preserve">นาง </v>
      </c>
      <c r="N10" t="str">
        <f t="shared" ca="1" si="7"/>
        <v/>
      </c>
      <c r="O10">
        <f t="shared" ca="1" si="8"/>
        <v>81</v>
      </c>
      <c r="P10">
        <f t="shared" ca="1" si="9"/>
        <v>3</v>
      </c>
      <c r="Q10" t="str">
        <f t="shared" ca="1" si="2"/>
        <v>ซื้อแล้วรวย</v>
      </c>
      <c r="R10" t="str">
        <f t="shared" ca="1" si="3"/>
        <v>โตแล้วโต</v>
      </c>
    </row>
    <row r="11" spans="1:24" ht="21.75">
      <c r="A11" s="79">
        <v>9</v>
      </c>
      <c r="B11" s="1">
        <v>2101009</v>
      </c>
      <c r="C11" s="1" t="str">
        <f t="shared" ca="1" si="0"/>
        <v>บริษัท ตัวอย่าง 92 จำกัด</v>
      </c>
      <c r="D11" s="80" t="s">
        <v>82</v>
      </c>
      <c r="E11" s="80" t="s">
        <v>171</v>
      </c>
      <c r="F11" s="2">
        <f t="shared" ca="1" si="10"/>
        <v>53</v>
      </c>
      <c r="G11" s="2" t="s">
        <v>11</v>
      </c>
      <c r="H11" s="78">
        <v>43715</v>
      </c>
      <c r="I11" s="6">
        <f t="shared" ca="1" si="4"/>
        <v>35086</v>
      </c>
      <c r="J11" s="3">
        <v>0.03</v>
      </c>
      <c r="K11" s="4">
        <f t="shared" ca="1" si="5"/>
        <v>1052.58</v>
      </c>
      <c r="M11" t="str">
        <f t="shared" ca="1" si="6"/>
        <v xml:space="preserve">บริษัท </v>
      </c>
      <c r="N11" t="str">
        <f t="shared" ca="1" si="7"/>
        <v>จำกัด</v>
      </c>
      <c r="O11">
        <f t="shared" ca="1" si="8"/>
        <v>92</v>
      </c>
      <c r="P11">
        <f t="shared" ca="1" si="9"/>
        <v>1</v>
      </c>
      <c r="Q11" t="str">
        <f t="shared" ca="1" si="2"/>
        <v>ตัวอย่าง</v>
      </c>
      <c r="R11" t="str">
        <f t="shared" ca="1" si="3"/>
        <v>สงเจริญ</v>
      </c>
    </row>
    <row r="12" spans="1:24" ht="21.75">
      <c r="A12" s="79">
        <v>10</v>
      </c>
      <c r="B12" s="1">
        <v>2101010</v>
      </c>
      <c r="C12" s="1" t="str">
        <f t="shared" ca="1" si="0"/>
        <v>นาย พิ่งเปิด มาคงสัยห้าสิบเก้า</v>
      </c>
      <c r="D12" s="80" t="s">
        <v>83</v>
      </c>
      <c r="E12" s="80" t="s">
        <v>172</v>
      </c>
      <c r="F12" s="2">
        <f t="shared" ca="1" si="10"/>
        <v>3</v>
      </c>
      <c r="G12" s="2" t="s">
        <v>11</v>
      </c>
      <c r="H12" s="78">
        <v>43597</v>
      </c>
      <c r="I12" s="6">
        <f t="shared" ca="1" si="4"/>
        <v>7363</v>
      </c>
      <c r="J12" s="3">
        <v>0.03</v>
      </c>
      <c r="K12" s="4">
        <f t="shared" ca="1" si="5"/>
        <v>220.89</v>
      </c>
      <c r="M12" t="str">
        <f t="shared" ca="1" si="6"/>
        <v xml:space="preserve">นาย </v>
      </c>
      <c r="N12" t="str">
        <f t="shared" ca="1" si="7"/>
        <v/>
      </c>
      <c r="O12">
        <f t="shared" ca="1" si="8"/>
        <v>59</v>
      </c>
      <c r="P12">
        <f t="shared" ca="1" si="9"/>
        <v>4</v>
      </c>
      <c r="Q12" t="str">
        <f t="shared" ca="1" si="2"/>
        <v>พิ่งเปิด</v>
      </c>
      <c r="R12" t="str">
        <f t="shared" ca="1" si="3"/>
        <v>มาคงสัย</v>
      </c>
    </row>
    <row r="13" spans="1:24" ht="21.75">
      <c r="A13" s="79">
        <v>11</v>
      </c>
      <c r="B13" s="1">
        <v>2101011</v>
      </c>
      <c r="C13" s="1" t="str">
        <f t="shared" ca="1" si="0"/>
        <v>นาย พิ่งเปิด มาคงสัยห้าสิบห้า</v>
      </c>
      <c r="D13" s="80" t="s">
        <v>157</v>
      </c>
      <c r="E13" s="80" t="s">
        <v>173</v>
      </c>
      <c r="F13" s="2">
        <f t="shared" ca="1" si="10"/>
        <v>3</v>
      </c>
      <c r="G13" s="2" t="s">
        <v>11</v>
      </c>
      <c r="H13" s="78">
        <v>43933</v>
      </c>
      <c r="I13" s="6">
        <f t="shared" ca="1" si="4"/>
        <v>36668</v>
      </c>
      <c r="J13" s="3">
        <v>0.03</v>
      </c>
      <c r="K13" s="4">
        <f t="shared" ca="1" si="5"/>
        <v>1100.04</v>
      </c>
      <c r="M13" t="str">
        <f t="shared" ca="1" si="6"/>
        <v xml:space="preserve">นาย </v>
      </c>
      <c r="N13" t="str">
        <f t="shared" ca="1" si="7"/>
        <v/>
      </c>
      <c r="O13">
        <f t="shared" ca="1" si="8"/>
        <v>55</v>
      </c>
      <c r="P13">
        <f t="shared" ca="1" si="9"/>
        <v>4</v>
      </c>
      <c r="Q13" t="str">
        <f t="shared" ca="1" si="2"/>
        <v>พิ่งเปิด</v>
      </c>
      <c r="R13" t="str">
        <f t="shared" ca="1" si="3"/>
        <v>มาคงสัย</v>
      </c>
    </row>
    <row r="14" spans="1:24" ht="21.75">
      <c r="A14" s="79">
        <v>12</v>
      </c>
      <c r="B14" s="1">
        <v>2101012</v>
      </c>
      <c r="C14" s="1" t="str">
        <f t="shared" ca="1" si="0"/>
        <v>บริษัท ตัวอย่าง 46 จำกัด</v>
      </c>
      <c r="D14" s="80" t="s">
        <v>84</v>
      </c>
      <c r="E14" s="80" t="s">
        <v>174</v>
      </c>
      <c r="F14" s="2">
        <f t="shared" ca="1" si="10"/>
        <v>53</v>
      </c>
      <c r="G14" s="2" t="s">
        <v>11</v>
      </c>
      <c r="H14" s="78">
        <v>44005</v>
      </c>
      <c r="I14" s="6">
        <f t="shared" ca="1" si="4"/>
        <v>5587</v>
      </c>
      <c r="J14" s="3">
        <v>0.03</v>
      </c>
      <c r="K14" s="4">
        <f t="shared" ca="1" si="5"/>
        <v>167.60999999999999</v>
      </c>
      <c r="M14" t="str">
        <f t="shared" ca="1" si="6"/>
        <v xml:space="preserve">บริษัท </v>
      </c>
      <c r="N14" t="str">
        <f t="shared" ca="1" si="7"/>
        <v>จำกัด</v>
      </c>
      <c r="O14">
        <f t="shared" ca="1" si="8"/>
        <v>46</v>
      </c>
      <c r="P14">
        <f t="shared" ca="1" si="9"/>
        <v>1</v>
      </c>
      <c r="Q14" t="str">
        <f t="shared" ca="1" si="2"/>
        <v>ตัวอย่าง</v>
      </c>
      <c r="R14" t="str">
        <f t="shared" ca="1" si="3"/>
        <v>สงเจริญ</v>
      </c>
    </row>
    <row r="15" spans="1:24" ht="21.75">
      <c r="A15" s="79">
        <v>13</v>
      </c>
      <c r="B15" s="1">
        <v>2101013</v>
      </c>
      <c r="C15" s="1" t="str">
        <f t="shared" ca="1" si="0"/>
        <v>บริษัท อยากจะรวย 24 จำกัด</v>
      </c>
      <c r="D15" s="80" t="s">
        <v>85</v>
      </c>
      <c r="E15" s="80" t="s">
        <v>175</v>
      </c>
      <c r="F15" s="2">
        <f t="shared" ca="1" si="10"/>
        <v>53</v>
      </c>
      <c r="G15" s="2" t="s">
        <v>11</v>
      </c>
      <c r="H15" s="78">
        <v>44418</v>
      </c>
      <c r="I15" s="6">
        <f t="shared" ca="1" si="4"/>
        <v>41301</v>
      </c>
      <c r="J15" s="3">
        <v>0.03</v>
      </c>
      <c r="K15" s="4">
        <f t="shared" ca="1" si="5"/>
        <v>1239.03</v>
      </c>
      <c r="M15" t="str">
        <f t="shared" ca="1" si="6"/>
        <v xml:space="preserve">บริษัท </v>
      </c>
      <c r="N15" t="str">
        <f t="shared" ca="1" si="7"/>
        <v>จำกัด</v>
      </c>
      <c r="O15">
        <f t="shared" ca="1" si="8"/>
        <v>24</v>
      </c>
      <c r="P15">
        <f t="shared" ca="1" si="9"/>
        <v>2</v>
      </c>
      <c r="Q15" t="str">
        <f t="shared" ca="1" si="2"/>
        <v>อยากจะรวย</v>
      </c>
      <c r="R15" t="str">
        <f t="shared" ca="1" si="3"/>
        <v>อาคมแรง</v>
      </c>
    </row>
    <row r="16" spans="1:24" ht="21.75">
      <c r="A16" s="79">
        <v>14</v>
      </c>
      <c r="B16" s="1">
        <v>2101014</v>
      </c>
      <c r="C16" s="1" t="str">
        <f t="shared" ca="1" si="0"/>
        <v>นาย พิ่งเปิด มาคงสัยเก้าสิบห้า</v>
      </c>
      <c r="D16" s="80" t="s">
        <v>86</v>
      </c>
      <c r="E16" s="80" t="s">
        <v>176</v>
      </c>
      <c r="F16" s="2">
        <f t="shared" ca="1" si="10"/>
        <v>3</v>
      </c>
      <c r="G16" s="2" t="s">
        <v>13</v>
      </c>
      <c r="H16" s="78">
        <v>43629</v>
      </c>
      <c r="I16" s="6">
        <f t="shared" ca="1" si="4"/>
        <v>31978</v>
      </c>
      <c r="J16" s="3">
        <v>0.05</v>
      </c>
      <c r="K16" s="4">
        <f t="shared" ca="1" si="5"/>
        <v>1598.9</v>
      </c>
      <c r="M16" t="str">
        <f t="shared" ca="1" si="6"/>
        <v xml:space="preserve">นาย </v>
      </c>
      <c r="N16" t="str">
        <f t="shared" ca="1" si="7"/>
        <v/>
      </c>
      <c r="O16">
        <f t="shared" ca="1" si="8"/>
        <v>95</v>
      </c>
      <c r="P16">
        <f t="shared" ca="1" si="9"/>
        <v>4</v>
      </c>
      <c r="Q16" t="str">
        <f t="shared" ca="1" si="2"/>
        <v>พิ่งเปิด</v>
      </c>
      <c r="R16" t="str">
        <f t="shared" ca="1" si="3"/>
        <v>มาคงสัย</v>
      </c>
    </row>
    <row r="17" spans="1:18" ht="21.75">
      <c r="A17" s="79">
        <v>15</v>
      </c>
      <c r="B17" s="1">
        <v>2101015</v>
      </c>
      <c r="C17" s="1" t="str">
        <f t="shared" ca="1" si="0"/>
        <v>บริษัท ตัวอย่าง 34 จำกัด</v>
      </c>
      <c r="D17" s="80" t="s">
        <v>87</v>
      </c>
      <c r="E17" s="80" t="s">
        <v>177</v>
      </c>
      <c r="F17" s="2">
        <f t="shared" ca="1" si="10"/>
        <v>53</v>
      </c>
      <c r="G17" s="2" t="s">
        <v>11</v>
      </c>
      <c r="H17" s="78">
        <v>43585</v>
      </c>
      <c r="I17" s="6">
        <f t="shared" ca="1" si="4"/>
        <v>45044</v>
      </c>
      <c r="J17" s="3">
        <v>0.03</v>
      </c>
      <c r="K17" s="4">
        <f t="shared" ca="1" si="5"/>
        <v>1351.32</v>
      </c>
      <c r="M17" t="str">
        <f t="shared" ca="1" si="6"/>
        <v xml:space="preserve">บริษัท </v>
      </c>
      <c r="N17" t="str">
        <f t="shared" ca="1" si="7"/>
        <v>จำกัด</v>
      </c>
      <c r="O17">
        <f t="shared" ca="1" si="8"/>
        <v>34</v>
      </c>
      <c r="P17">
        <f t="shared" ca="1" si="9"/>
        <v>1</v>
      </c>
      <c r="Q17" t="str">
        <f t="shared" ca="1" si="2"/>
        <v>ตัวอย่าง</v>
      </c>
      <c r="R17" t="str">
        <f t="shared" ca="1" si="3"/>
        <v>สงเจริญ</v>
      </c>
    </row>
    <row r="18" spans="1:18" ht="21.75">
      <c r="A18" s="79">
        <v>16</v>
      </c>
      <c r="B18" s="1">
        <v>2101016</v>
      </c>
      <c r="C18" s="1" t="str">
        <f t="shared" ca="1" si="0"/>
        <v>บริษัท ซื้อแล้วรวย 26 จำกัด</v>
      </c>
      <c r="D18" s="80" t="s">
        <v>88</v>
      </c>
      <c r="E18" s="80" t="s">
        <v>178</v>
      </c>
      <c r="F18" s="2">
        <f t="shared" ca="1" si="10"/>
        <v>53</v>
      </c>
      <c r="G18" s="2" t="s">
        <v>11</v>
      </c>
      <c r="H18" s="78">
        <v>43650</v>
      </c>
      <c r="I18" s="6">
        <f t="shared" ca="1" si="4"/>
        <v>3991</v>
      </c>
      <c r="J18" s="3">
        <v>0.03</v>
      </c>
      <c r="K18" s="4">
        <f t="shared" ca="1" si="5"/>
        <v>119.72999999999999</v>
      </c>
      <c r="M18" t="str">
        <f t="shared" ca="1" si="6"/>
        <v xml:space="preserve">บริษัท </v>
      </c>
      <c r="N18" t="str">
        <f t="shared" ca="1" si="7"/>
        <v>จำกัด</v>
      </c>
      <c r="O18">
        <f t="shared" ca="1" si="8"/>
        <v>26</v>
      </c>
      <c r="P18">
        <f t="shared" ca="1" si="9"/>
        <v>3</v>
      </c>
      <c r="Q18" t="str">
        <f t="shared" ca="1" si="2"/>
        <v>ซื้อแล้วรวย</v>
      </c>
      <c r="R18" t="str">
        <f t="shared" ca="1" si="3"/>
        <v>โตแล้วโต</v>
      </c>
    </row>
    <row r="19" spans="1:18" ht="21.75">
      <c r="A19" s="79">
        <v>17</v>
      </c>
      <c r="B19" s="1">
        <v>2101017</v>
      </c>
      <c r="C19" s="1" t="str">
        <f t="shared" ca="1" si="0"/>
        <v>บริษัท ซื้อแล้วรวย 70 จำกัด</v>
      </c>
      <c r="D19" s="80" t="s">
        <v>89</v>
      </c>
      <c r="E19" s="80" t="s">
        <v>179</v>
      </c>
      <c r="F19" s="2">
        <f t="shared" ca="1" si="10"/>
        <v>53</v>
      </c>
      <c r="G19" s="2" t="s">
        <v>11</v>
      </c>
      <c r="H19" s="78">
        <v>44351</v>
      </c>
      <c r="I19" s="6">
        <f t="shared" ca="1" si="4"/>
        <v>36031</v>
      </c>
      <c r="J19" s="3">
        <v>0.03</v>
      </c>
      <c r="K19" s="4">
        <f t="shared" ca="1" si="5"/>
        <v>1080.93</v>
      </c>
      <c r="M19" t="str">
        <f t="shared" ca="1" si="6"/>
        <v xml:space="preserve">บริษัท </v>
      </c>
      <c r="N19" t="str">
        <f t="shared" ca="1" si="7"/>
        <v>จำกัด</v>
      </c>
      <c r="O19">
        <f t="shared" ca="1" si="8"/>
        <v>70</v>
      </c>
      <c r="P19">
        <f t="shared" ca="1" si="9"/>
        <v>3</v>
      </c>
      <c r="Q19" t="str">
        <f t="shared" ca="1" si="2"/>
        <v>ซื้อแล้วรวย</v>
      </c>
      <c r="R19" t="str">
        <f t="shared" ca="1" si="3"/>
        <v>โตแล้วโต</v>
      </c>
    </row>
    <row r="20" spans="1:18" ht="21.75">
      <c r="A20" s="79">
        <v>18</v>
      </c>
      <c r="B20" s="1">
        <v>2101018</v>
      </c>
      <c r="C20" s="1" t="str">
        <f t="shared" ca="1" si="0"/>
        <v>นาย อยากจะรวย อาคมแรงแปดสิบเอ็ด</v>
      </c>
      <c r="D20" s="80" t="s">
        <v>90</v>
      </c>
      <c r="E20" s="80" t="s">
        <v>180</v>
      </c>
      <c r="F20" s="2">
        <f t="shared" ca="1" si="10"/>
        <v>3</v>
      </c>
      <c r="G20" s="2" t="s">
        <v>11</v>
      </c>
      <c r="H20" s="78">
        <v>43616</v>
      </c>
      <c r="I20" s="6">
        <f t="shared" ca="1" si="4"/>
        <v>26858</v>
      </c>
      <c r="J20" s="3">
        <v>0.03</v>
      </c>
      <c r="K20" s="4">
        <f t="shared" ca="1" si="5"/>
        <v>805.74</v>
      </c>
      <c r="M20" t="str">
        <f t="shared" ca="1" si="6"/>
        <v xml:space="preserve">นาย </v>
      </c>
      <c r="N20" t="str">
        <f t="shared" ca="1" si="7"/>
        <v/>
      </c>
      <c r="O20">
        <f t="shared" ca="1" si="8"/>
        <v>81</v>
      </c>
      <c r="P20">
        <f t="shared" ca="1" si="9"/>
        <v>2</v>
      </c>
      <c r="Q20" t="str">
        <f t="shared" ca="1" si="2"/>
        <v>อยากจะรวย</v>
      </c>
      <c r="R20" t="str">
        <f t="shared" ca="1" si="3"/>
        <v>อาคมแรง</v>
      </c>
    </row>
    <row r="21" spans="1:18" ht="21.75">
      <c r="A21" s="79">
        <v>19</v>
      </c>
      <c r="B21" s="1">
        <v>2101019</v>
      </c>
      <c r="C21" s="1" t="str">
        <f t="shared" ca="1" si="0"/>
        <v>บริษัท อยากจะรวย 30 จำกัด</v>
      </c>
      <c r="D21" s="80" t="s">
        <v>91</v>
      </c>
      <c r="E21" s="80" t="s">
        <v>181</v>
      </c>
      <c r="F21" s="2">
        <f t="shared" ca="1" si="10"/>
        <v>53</v>
      </c>
      <c r="G21" s="2" t="s">
        <v>11</v>
      </c>
      <c r="H21" s="78">
        <v>43699</v>
      </c>
      <c r="I21" s="6">
        <f t="shared" ca="1" si="4"/>
        <v>2602</v>
      </c>
      <c r="J21" s="3">
        <v>0.03</v>
      </c>
      <c r="K21" s="4">
        <f t="shared" ca="1" si="5"/>
        <v>78.06</v>
      </c>
      <c r="M21" t="str">
        <f t="shared" ca="1" si="6"/>
        <v xml:space="preserve">บริษัท </v>
      </c>
      <c r="N21" t="str">
        <f t="shared" ca="1" si="7"/>
        <v>จำกัด</v>
      </c>
      <c r="O21">
        <f t="shared" ca="1" si="8"/>
        <v>30</v>
      </c>
      <c r="P21">
        <f t="shared" ca="1" si="9"/>
        <v>2</v>
      </c>
      <c r="Q21" t="str">
        <f t="shared" ca="1" si="2"/>
        <v>อยากจะรวย</v>
      </c>
      <c r="R21" t="str">
        <f t="shared" ca="1" si="3"/>
        <v>อาคมแรง</v>
      </c>
    </row>
    <row r="22" spans="1:18" ht="21.75">
      <c r="A22" s="79">
        <v>20</v>
      </c>
      <c r="B22" s="1">
        <v>2101020</v>
      </c>
      <c r="C22" s="1" t="str">
        <f t="shared" ca="1" si="0"/>
        <v>นาย อยากจะรวย อาคมแรงสิบเก้า</v>
      </c>
      <c r="D22" s="80" t="s">
        <v>92</v>
      </c>
      <c r="E22" s="80" t="s">
        <v>182</v>
      </c>
      <c r="F22" s="2">
        <f t="shared" ca="1" si="10"/>
        <v>3</v>
      </c>
      <c r="G22" s="2" t="s">
        <v>11</v>
      </c>
      <c r="H22" s="78">
        <v>43701</v>
      </c>
      <c r="I22" s="6">
        <f t="shared" ca="1" si="4"/>
        <v>3455</v>
      </c>
      <c r="J22" s="3">
        <v>0.03</v>
      </c>
      <c r="K22" s="4">
        <f t="shared" ca="1" si="5"/>
        <v>103.64999999999999</v>
      </c>
      <c r="M22" t="str">
        <f t="shared" ca="1" si="6"/>
        <v xml:space="preserve">นาย </v>
      </c>
      <c r="N22" t="str">
        <f t="shared" ca="1" si="7"/>
        <v/>
      </c>
      <c r="O22">
        <f t="shared" ca="1" si="8"/>
        <v>19</v>
      </c>
      <c r="P22">
        <f t="shared" ca="1" si="9"/>
        <v>2</v>
      </c>
      <c r="Q22" t="str">
        <f t="shared" ca="1" si="2"/>
        <v>อยากจะรวย</v>
      </c>
      <c r="R22" t="str">
        <f t="shared" ca="1" si="3"/>
        <v>อาคมแรง</v>
      </c>
    </row>
    <row r="23" spans="1:18" ht="21.75">
      <c r="A23" s="79">
        <v>21</v>
      </c>
      <c r="B23" s="1">
        <v>2101021</v>
      </c>
      <c r="C23" s="1" t="str">
        <f t="shared" ca="1" si="0"/>
        <v>นาง ตัวอย่าง สงเจริญสี่สิบเจ็ด</v>
      </c>
      <c r="D23" s="80" t="s">
        <v>93</v>
      </c>
      <c r="E23" s="80" t="s">
        <v>183</v>
      </c>
      <c r="F23" s="2">
        <f t="shared" ca="1" si="10"/>
        <v>3</v>
      </c>
      <c r="G23" s="2" t="s">
        <v>11</v>
      </c>
      <c r="H23" s="78">
        <v>43779</v>
      </c>
      <c r="I23" s="6">
        <f t="shared" ca="1" si="4"/>
        <v>42954</v>
      </c>
      <c r="J23" s="3">
        <v>0.03</v>
      </c>
      <c r="K23" s="4">
        <f t="shared" ca="1" si="5"/>
        <v>1288.6199999999999</v>
      </c>
      <c r="M23" t="str">
        <f t="shared" ca="1" si="6"/>
        <v xml:space="preserve">นาง </v>
      </c>
      <c r="N23" t="str">
        <f t="shared" ca="1" si="7"/>
        <v/>
      </c>
      <c r="O23">
        <f t="shared" ca="1" si="8"/>
        <v>47</v>
      </c>
      <c r="P23">
        <f t="shared" ca="1" si="9"/>
        <v>1</v>
      </c>
      <c r="Q23" t="str">
        <f t="shared" ca="1" si="2"/>
        <v>ตัวอย่าง</v>
      </c>
      <c r="R23" t="str">
        <f t="shared" ca="1" si="3"/>
        <v>สงเจริญ</v>
      </c>
    </row>
    <row r="24" spans="1:18" ht="21.75">
      <c r="A24" s="79">
        <v>22</v>
      </c>
      <c r="B24" s="1">
        <v>2101022</v>
      </c>
      <c r="C24" s="1" t="str">
        <f t="shared" ca="1" si="0"/>
        <v>นาง ซื้อแล้วรวย โตแล้วโตเจ็ดสิบเก้า</v>
      </c>
      <c r="D24" s="80" t="s">
        <v>94</v>
      </c>
      <c r="E24" s="80" t="s">
        <v>184</v>
      </c>
      <c r="F24" s="2">
        <f t="shared" ca="1" si="10"/>
        <v>3</v>
      </c>
      <c r="G24" s="2" t="s">
        <v>11</v>
      </c>
      <c r="H24" s="78">
        <v>44352</v>
      </c>
      <c r="I24" s="6">
        <f t="shared" ca="1" si="4"/>
        <v>16118</v>
      </c>
      <c r="J24" s="3">
        <v>0.03</v>
      </c>
      <c r="K24" s="4">
        <f t="shared" ca="1" si="5"/>
        <v>483.53999999999996</v>
      </c>
      <c r="M24" t="str">
        <f t="shared" ca="1" si="6"/>
        <v xml:space="preserve">นาง </v>
      </c>
      <c r="N24" t="str">
        <f t="shared" ca="1" si="7"/>
        <v/>
      </c>
      <c r="O24">
        <f t="shared" ca="1" si="8"/>
        <v>79</v>
      </c>
      <c r="P24">
        <f t="shared" ca="1" si="9"/>
        <v>3</v>
      </c>
      <c r="Q24" t="str">
        <f t="shared" ca="1" si="2"/>
        <v>ซื้อแล้วรวย</v>
      </c>
      <c r="R24" t="str">
        <f t="shared" ca="1" si="3"/>
        <v>โตแล้วโต</v>
      </c>
    </row>
    <row r="25" spans="1:18" ht="21.75">
      <c r="A25" s="79">
        <v>23</v>
      </c>
      <c r="B25" s="1">
        <v>2101023</v>
      </c>
      <c r="C25" s="1" t="str">
        <f t="shared" ca="1" si="0"/>
        <v>นาง ตัวอย่าง สงเจริญหกสิบห้า</v>
      </c>
      <c r="D25" s="80" t="s">
        <v>95</v>
      </c>
      <c r="E25" s="80" t="s">
        <v>185</v>
      </c>
      <c r="F25" s="2">
        <f t="shared" ca="1" si="10"/>
        <v>3</v>
      </c>
      <c r="G25" s="2" t="s">
        <v>11</v>
      </c>
      <c r="H25" s="78">
        <v>44006</v>
      </c>
      <c r="I25" s="6">
        <f t="shared" ca="1" si="4"/>
        <v>12028</v>
      </c>
      <c r="J25" s="3">
        <v>0.03</v>
      </c>
      <c r="K25" s="4">
        <f t="shared" ca="1" si="5"/>
        <v>360.84</v>
      </c>
      <c r="M25" t="str">
        <f t="shared" ca="1" si="6"/>
        <v xml:space="preserve">นาง </v>
      </c>
      <c r="N25" t="str">
        <f t="shared" ca="1" si="7"/>
        <v/>
      </c>
      <c r="O25">
        <f t="shared" ca="1" si="8"/>
        <v>65</v>
      </c>
      <c r="P25">
        <f t="shared" ca="1" si="9"/>
        <v>1</v>
      </c>
      <c r="Q25" t="str">
        <f t="shared" ca="1" si="2"/>
        <v>ตัวอย่าง</v>
      </c>
      <c r="R25" t="str">
        <f t="shared" ca="1" si="3"/>
        <v>สงเจริญ</v>
      </c>
    </row>
    <row r="26" spans="1:18" ht="21.75">
      <c r="A26" s="79">
        <v>24</v>
      </c>
      <c r="B26" s="1">
        <v>2101024</v>
      </c>
      <c r="C26" s="1" t="str">
        <f t="shared" ca="1" si="0"/>
        <v>นาย พิ่งเปิด มาคงสัยหกสิบเจ็ด</v>
      </c>
      <c r="D26" s="80" t="s">
        <v>96</v>
      </c>
      <c r="E26" s="80" t="s">
        <v>186</v>
      </c>
      <c r="F26" s="2">
        <f t="shared" ca="1" si="10"/>
        <v>3</v>
      </c>
      <c r="G26" s="2" t="s">
        <v>11</v>
      </c>
      <c r="H26" s="78">
        <v>44063</v>
      </c>
      <c r="I26" s="6">
        <f t="shared" ca="1" si="4"/>
        <v>25410</v>
      </c>
      <c r="J26" s="3">
        <v>0.03</v>
      </c>
      <c r="K26" s="4">
        <f t="shared" ca="1" si="5"/>
        <v>762.3</v>
      </c>
      <c r="M26" t="str">
        <f t="shared" ca="1" si="6"/>
        <v xml:space="preserve">นาย </v>
      </c>
      <c r="N26" t="str">
        <f t="shared" ca="1" si="7"/>
        <v/>
      </c>
      <c r="O26">
        <f t="shared" ca="1" si="8"/>
        <v>67</v>
      </c>
      <c r="P26">
        <f t="shared" ca="1" si="9"/>
        <v>4</v>
      </c>
      <c r="Q26" t="str">
        <f t="shared" ca="1" si="2"/>
        <v>พิ่งเปิด</v>
      </c>
      <c r="R26" t="str">
        <f t="shared" ca="1" si="3"/>
        <v>มาคงสัย</v>
      </c>
    </row>
    <row r="27" spans="1:18" ht="21.75">
      <c r="A27" s="79">
        <v>25</v>
      </c>
      <c r="B27" s="1">
        <v>2101025</v>
      </c>
      <c r="C27" s="1" t="str">
        <f t="shared" ca="1" si="0"/>
        <v>นาง ตัวอย่าง สงเจริญเก้าสิบห้า</v>
      </c>
      <c r="D27" s="80" t="s">
        <v>97</v>
      </c>
      <c r="E27" s="80" t="s">
        <v>187</v>
      </c>
      <c r="F27" s="2">
        <f t="shared" ca="1" si="10"/>
        <v>3</v>
      </c>
      <c r="G27" s="2" t="s">
        <v>11</v>
      </c>
      <c r="H27" s="78">
        <v>43982</v>
      </c>
      <c r="I27" s="6">
        <f t="shared" ca="1" si="4"/>
        <v>35974</v>
      </c>
      <c r="J27" s="3">
        <v>0.03</v>
      </c>
      <c r="K27" s="4">
        <f t="shared" ca="1" si="5"/>
        <v>1079.22</v>
      </c>
      <c r="M27" t="str">
        <f t="shared" ca="1" si="6"/>
        <v xml:space="preserve">นาง </v>
      </c>
      <c r="N27" t="str">
        <f t="shared" ca="1" si="7"/>
        <v/>
      </c>
      <c r="O27">
        <f t="shared" ca="1" si="8"/>
        <v>95</v>
      </c>
      <c r="P27">
        <f t="shared" ca="1" si="9"/>
        <v>1</v>
      </c>
      <c r="Q27" t="str">
        <f t="shared" ca="1" si="2"/>
        <v>ตัวอย่าง</v>
      </c>
      <c r="R27" t="str">
        <f t="shared" ca="1" si="3"/>
        <v>สงเจริญ</v>
      </c>
    </row>
    <row r="28" spans="1:18" ht="21.75">
      <c r="A28" s="79">
        <v>26</v>
      </c>
      <c r="B28" s="1">
        <v>2101026</v>
      </c>
      <c r="C28" s="1" t="str">
        <f t="shared" ca="1" si="0"/>
        <v>นาย พิ่งเปิด มาคงสัยสิบห้า</v>
      </c>
      <c r="D28" s="80" t="s">
        <v>158</v>
      </c>
      <c r="E28" s="80" t="s">
        <v>188</v>
      </c>
      <c r="F28" s="2">
        <f t="shared" ca="1" si="10"/>
        <v>3</v>
      </c>
      <c r="G28" s="2" t="s">
        <v>12</v>
      </c>
      <c r="H28" s="78">
        <v>44125</v>
      </c>
      <c r="I28" s="6">
        <f t="shared" ca="1" si="4"/>
        <v>34990</v>
      </c>
      <c r="J28" s="3">
        <v>0.01</v>
      </c>
      <c r="K28" s="4">
        <f t="shared" ca="1" si="5"/>
        <v>349.90000000000003</v>
      </c>
      <c r="M28" t="str">
        <f t="shared" ca="1" si="6"/>
        <v xml:space="preserve">นาย </v>
      </c>
      <c r="N28" t="str">
        <f t="shared" ca="1" si="7"/>
        <v/>
      </c>
      <c r="O28">
        <f t="shared" ca="1" si="8"/>
        <v>15</v>
      </c>
      <c r="P28">
        <f t="shared" ca="1" si="9"/>
        <v>4</v>
      </c>
      <c r="Q28" t="str">
        <f t="shared" ca="1" si="2"/>
        <v>พิ่งเปิด</v>
      </c>
      <c r="R28" t="str">
        <f t="shared" ca="1" si="3"/>
        <v>มาคงสัย</v>
      </c>
    </row>
    <row r="29" spans="1:18" ht="21.75">
      <c r="A29" s="79">
        <v>27</v>
      </c>
      <c r="B29" s="1">
        <v>2101027</v>
      </c>
      <c r="C29" s="1" t="str">
        <f t="shared" ca="1" si="0"/>
        <v>นาย อยากจะรวย อาคมแรงแปดสิบเก้า</v>
      </c>
      <c r="D29" s="80" t="s">
        <v>160</v>
      </c>
      <c r="E29" s="80" t="s">
        <v>189</v>
      </c>
      <c r="F29" s="2">
        <f t="shared" ca="1" si="10"/>
        <v>3</v>
      </c>
      <c r="G29" s="2" t="s">
        <v>69</v>
      </c>
      <c r="H29" s="78">
        <v>44076</v>
      </c>
      <c r="I29" s="6">
        <f t="shared" ca="1" si="4"/>
        <v>34850</v>
      </c>
      <c r="J29" s="3">
        <v>0.01</v>
      </c>
      <c r="K29" s="4">
        <f t="shared" ca="1" si="5"/>
        <v>348.5</v>
      </c>
      <c r="M29" t="str">
        <f t="shared" ca="1" si="6"/>
        <v xml:space="preserve">นาย </v>
      </c>
      <c r="N29" t="str">
        <f t="shared" ca="1" si="7"/>
        <v/>
      </c>
      <c r="O29">
        <f t="shared" ca="1" si="8"/>
        <v>89</v>
      </c>
      <c r="P29">
        <f t="shared" ca="1" si="9"/>
        <v>2</v>
      </c>
      <c r="Q29" t="str">
        <f t="shared" ca="1" si="2"/>
        <v>อยากจะรวย</v>
      </c>
      <c r="R29" t="str">
        <f t="shared" ca="1" si="3"/>
        <v>อาคมแรง</v>
      </c>
    </row>
    <row r="30" spans="1:18" ht="21.75">
      <c r="A30" s="79">
        <v>28</v>
      </c>
      <c r="B30" s="1">
        <v>2101028</v>
      </c>
      <c r="C30" s="1" t="str">
        <f t="shared" ca="1" si="0"/>
        <v>บริษัท พิ่งเปิด 80 จำกัด</v>
      </c>
      <c r="D30" s="80" t="s">
        <v>98</v>
      </c>
      <c r="E30" s="80" t="s">
        <v>190</v>
      </c>
      <c r="F30" s="2">
        <f t="shared" ca="1" si="10"/>
        <v>53</v>
      </c>
      <c r="G30" s="2" t="s">
        <v>11</v>
      </c>
      <c r="H30" s="78">
        <v>43574</v>
      </c>
      <c r="I30" s="6">
        <f t="shared" ca="1" si="4"/>
        <v>49797</v>
      </c>
      <c r="J30" s="3">
        <v>0.03</v>
      </c>
      <c r="K30" s="4">
        <f t="shared" ca="1" si="5"/>
        <v>1493.9099999999999</v>
      </c>
      <c r="M30" t="str">
        <f t="shared" ca="1" si="6"/>
        <v xml:space="preserve">บริษัท </v>
      </c>
      <c r="N30" t="str">
        <f t="shared" ca="1" si="7"/>
        <v>จำกัด</v>
      </c>
      <c r="O30">
        <f t="shared" ca="1" si="8"/>
        <v>80</v>
      </c>
      <c r="P30">
        <f t="shared" ca="1" si="9"/>
        <v>4</v>
      </c>
      <c r="Q30" t="str">
        <f t="shared" ca="1" si="2"/>
        <v>พิ่งเปิด</v>
      </c>
      <c r="R30" t="str">
        <f t="shared" ca="1" si="3"/>
        <v>มาคงสัย</v>
      </c>
    </row>
    <row r="31" spans="1:18" ht="21.75">
      <c r="A31" s="79">
        <v>29</v>
      </c>
      <c r="B31" s="1">
        <v>2101029</v>
      </c>
      <c r="C31" s="1" t="str">
        <f t="shared" ca="1" si="0"/>
        <v>บริษัท ตัวอย่าง 100 จำกัด</v>
      </c>
      <c r="D31" s="80" t="s">
        <v>99</v>
      </c>
      <c r="E31" s="80" t="s">
        <v>191</v>
      </c>
      <c r="F31" s="2">
        <f t="shared" ca="1" si="10"/>
        <v>53</v>
      </c>
      <c r="G31" s="2" t="s">
        <v>11</v>
      </c>
      <c r="H31" s="78">
        <v>44040</v>
      </c>
      <c r="I31" s="6">
        <f t="shared" ca="1" si="4"/>
        <v>19667</v>
      </c>
      <c r="J31" s="3">
        <v>0.03</v>
      </c>
      <c r="K31" s="4">
        <f t="shared" ca="1" si="5"/>
        <v>590.01</v>
      </c>
      <c r="M31" t="str">
        <f t="shared" ca="1" si="6"/>
        <v xml:space="preserve">บริษัท </v>
      </c>
      <c r="N31" t="str">
        <f t="shared" ca="1" si="7"/>
        <v>จำกัด</v>
      </c>
      <c r="O31">
        <f t="shared" ca="1" si="8"/>
        <v>100</v>
      </c>
      <c r="P31">
        <f t="shared" ca="1" si="9"/>
        <v>1</v>
      </c>
      <c r="Q31" t="str">
        <f t="shared" ca="1" si="2"/>
        <v>ตัวอย่าง</v>
      </c>
      <c r="R31" t="str">
        <f t="shared" ca="1" si="3"/>
        <v>สงเจริญ</v>
      </c>
    </row>
    <row r="32" spans="1:18" ht="21.75">
      <c r="A32" s="79">
        <v>30</v>
      </c>
      <c r="B32" s="1">
        <v>2101030</v>
      </c>
      <c r="C32" s="1" t="str">
        <f t="shared" ca="1" si="0"/>
        <v>นาง ซื้อแล้วรวย โตแล้วโตเก้าสิบสาม</v>
      </c>
      <c r="D32" s="80" t="s">
        <v>100</v>
      </c>
      <c r="E32" s="80" t="s">
        <v>192</v>
      </c>
      <c r="F32" s="2">
        <f t="shared" ca="1" si="10"/>
        <v>3</v>
      </c>
      <c r="G32" s="2" t="s">
        <v>11</v>
      </c>
      <c r="H32" s="78">
        <v>44371</v>
      </c>
      <c r="I32" s="6">
        <f t="shared" ca="1" si="4"/>
        <v>38897</v>
      </c>
      <c r="J32" s="3">
        <v>0.03</v>
      </c>
      <c r="K32" s="4">
        <f t="shared" ca="1" si="5"/>
        <v>1166.9099999999999</v>
      </c>
      <c r="M32" t="str">
        <f t="shared" ca="1" si="6"/>
        <v xml:space="preserve">นาง </v>
      </c>
      <c r="N32" t="str">
        <f t="shared" ca="1" si="7"/>
        <v/>
      </c>
      <c r="O32">
        <f t="shared" ca="1" si="8"/>
        <v>93</v>
      </c>
      <c r="P32">
        <f t="shared" ca="1" si="9"/>
        <v>3</v>
      </c>
      <c r="Q32" t="str">
        <f t="shared" ca="1" si="2"/>
        <v>ซื้อแล้วรวย</v>
      </c>
      <c r="R32" t="str">
        <f t="shared" ca="1" si="3"/>
        <v>โตแล้วโต</v>
      </c>
    </row>
    <row r="33" spans="1:18" ht="21.75">
      <c r="A33" s="79">
        <v>31</v>
      </c>
      <c r="B33" s="1">
        <v>2101031</v>
      </c>
      <c r="C33" s="1" t="str">
        <f t="shared" ca="1" si="0"/>
        <v>นาย พิ่งเปิด มาคงสัยห้าสิบเจ็ด</v>
      </c>
      <c r="D33" s="80" t="s">
        <v>101</v>
      </c>
      <c r="E33" s="80" t="s">
        <v>193</v>
      </c>
      <c r="F33" s="2">
        <f t="shared" ca="1" si="10"/>
        <v>3</v>
      </c>
      <c r="G33" s="2" t="s">
        <v>11</v>
      </c>
      <c r="H33" s="78">
        <v>44418</v>
      </c>
      <c r="I33" s="6">
        <f t="shared" ca="1" si="4"/>
        <v>40955</v>
      </c>
      <c r="J33" s="3">
        <v>0.03</v>
      </c>
      <c r="K33" s="4">
        <f t="shared" ca="1" si="5"/>
        <v>1228.6499999999999</v>
      </c>
      <c r="M33" t="str">
        <f t="shared" ca="1" si="6"/>
        <v xml:space="preserve">นาย </v>
      </c>
      <c r="N33" t="str">
        <f t="shared" ca="1" si="7"/>
        <v/>
      </c>
      <c r="O33">
        <f t="shared" ca="1" si="8"/>
        <v>57</v>
      </c>
      <c r="P33">
        <f t="shared" ca="1" si="9"/>
        <v>4</v>
      </c>
      <c r="Q33" t="str">
        <f t="shared" ca="1" si="2"/>
        <v>พิ่งเปิด</v>
      </c>
      <c r="R33" t="str">
        <f t="shared" ca="1" si="3"/>
        <v>มาคงสัย</v>
      </c>
    </row>
    <row r="34" spans="1:18" ht="21.75">
      <c r="A34" s="79">
        <v>32</v>
      </c>
      <c r="B34" s="1">
        <v>2101032</v>
      </c>
      <c r="C34" s="1" t="str">
        <f t="shared" ca="1" si="0"/>
        <v>นาง ซื้อแล้วรวย โตแล้วโตสามสิบเก้า</v>
      </c>
      <c r="D34" s="80" t="s">
        <v>102</v>
      </c>
      <c r="E34" s="80" t="s">
        <v>194</v>
      </c>
      <c r="F34" s="2">
        <f t="shared" ca="1" si="10"/>
        <v>3</v>
      </c>
      <c r="G34" s="2" t="s">
        <v>11</v>
      </c>
      <c r="H34" s="78">
        <v>44134</v>
      </c>
      <c r="I34" s="6">
        <f t="shared" ca="1" si="4"/>
        <v>48016</v>
      </c>
      <c r="J34" s="3">
        <v>0.03</v>
      </c>
      <c r="K34" s="4">
        <f t="shared" ca="1" si="5"/>
        <v>1440.48</v>
      </c>
      <c r="M34" t="str">
        <f t="shared" ca="1" si="6"/>
        <v xml:space="preserve">นาง </v>
      </c>
      <c r="N34" t="str">
        <f t="shared" ca="1" si="7"/>
        <v/>
      </c>
      <c r="O34">
        <f t="shared" ca="1" si="8"/>
        <v>39</v>
      </c>
      <c r="P34">
        <f t="shared" ca="1" si="9"/>
        <v>3</v>
      </c>
      <c r="Q34" t="str">
        <f t="shared" ca="1" si="2"/>
        <v>ซื้อแล้วรวย</v>
      </c>
      <c r="R34" t="str">
        <f t="shared" ca="1" si="3"/>
        <v>โตแล้วโต</v>
      </c>
    </row>
    <row r="35" spans="1:18" ht="21.75">
      <c r="A35" s="79">
        <v>33</v>
      </c>
      <c r="B35" s="1">
        <v>2101033</v>
      </c>
      <c r="C35" s="1" t="str">
        <f t="shared" ref="C35:C60" ca="1" si="11">M35&amp;Q35&amp;" "&amp;IF(N35="",R35&amp;LEFT(BAHTTEXT(O35),LEN(BAHTTEXT(O35))-7),O35&amp;" "&amp;N35)</f>
        <v>บริษัท พิ่งเปิด 48 จำกัด</v>
      </c>
      <c r="D35" s="80" t="s">
        <v>103</v>
      </c>
      <c r="E35" s="80" t="s">
        <v>195</v>
      </c>
      <c r="F35" s="2">
        <f t="shared" ca="1" si="10"/>
        <v>53</v>
      </c>
      <c r="G35" s="2" t="s">
        <v>11</v>
      </c>
      <c r="H35" s="78">
        <v>44142</v>
      </c>
      <c r="I35" s="6">
        <f t="shared" ca="1" si="4"/>
        <v>12610</v>
      </c>
      <c r="J35" s="3">
        <v>0.03</v>
      </c>
      <c r="K35" s="4">
        <f t="shared" ca="1" si="5"/>
        <v>378.3</v>
      </c>
      <c r="M35" t="str">
        <f t="shared" ca="1" si="6"/>
        <v xml:space="preserve">บริษัท </v>
      </c>
      <c r="N35" t="str">
        <f t="shared" ca="1" si="7"/>
        <v>จำกัด</v>
      </c>
      <c r="O35">
        <f t="shared" ca="1" si="8"/>
        <v>48</v>
      </c>
      <c r="P35">
        <f t="shared" ca="1" si="9"/>
        <v>4</v>
      </c>
      <c r="Q35" t="str">
        <f t="shared" ref="Q35:Q66" ca="1" si="12">_xlfn.XLOOKUP(P35,$T$3:$T$6,$U$3:$U$6)</f>
        <v>พิ่งเปิด</v>
      </c>
      <c r="R35" t="str">
        <f t="shared" ref="R35:R60" ca="1" si="13">_xlfn.XLOOKUP(P35,$T$3:$T$6,$V$3:$V$6)</f>
        <v>มาคงสัย</v>
      </c>
    </row>
    <row r="36" spans="1:18" ht="21.75">
      <c r="A36" s="79">
        <v>34</v>
      </c>
      <c r="B36" s="1">
        <v>2101034</v>
      </c>
      <c r="C36" s="1" t="str">
        <f t="shared" ca="1" si="11"/>
        <v>บริษัท ซื้อแล้วรวย 88 จำกัด</v>
      </c>
      <c r="D36" s="80" t="s">
        <v>104</v>
      </c>
      <c r="E36" s="80" t="s">
        <v>196</v>
      </c>
      <c r="F36" s="2">
        <f t="shared" ca="1" si="10"/>
        <v>53</v>
      </c>
      <c r="G36" s="2" t="s">
        <v>69</v>
      </c>
      <c r="H36" s="78">
        <v>44022</v>
      </c>
      <c r="I36" s="6">
        <f t="shared" ca="1" si="4"/>
        <v>2222</v>
      </c>
      <c r="J36" s="3">
        <v>0.01</v>
      </c>
      <c r="K36" s="4">
        <f t="shared" ca="1" si="5"/>
        <v>22.22</v>
      </c>
      <c r="M36" t="str">
        <f t="shared" ca="1" si="6"/>
        <v xml:space="preserve">บริษัท </v>
      </c>
      <c r="N36" t="str">
        <f t="shared" ca="1" si="7"/>
        <v>จำกัด</v>
      </c>
      <c r="O36">
        <f t="shared" ca="1" si="8"/>
        <v>88</v>
      </c>
      <c r="P36">
        <f t="shared" ca="1" si="9"/>
        <v>3</v>
      </c>
      <c r="Q36" t="str">
        <f t="shared" ca="1" si="12"/>
        <v>ซื้อแล้วรวย</v>
      </c>
      <c r="R36" t="str">
        <f t="shared" ca="1" si="13"/>
        <v>โตแล้วโต</v>
      </c>
    </row>
    <row r="37" spans="1:18" ht="21.75">
      <c r="A37" s="79">
        <v>35</v>
      </c>
      <c r="B37" s="1">
        <v>2101035</v>
      </c>
      <c r="C37" s="1" t="str">
        <f t="shared" ca="1" si="11"/>
        <v>บริษัท อยากจะรวย 54 จำกัด</v>
      </c>
      <c r="D37" s="80" t="s">
        <v>105</v>
      </c>
      <c r="E37" s="80" t="s">
        <v>197</v>
      </c>
      <c r="F37" s="2">
        <f t="shared" ca="1" si="10"/>
        <v>53</v>
      </c>
      <c r="G37" s="2" t="s">
        <v>11</v>
      </c>
      <c r="H37" s="78">
        <v>43581</v>
      </c>
      <c r="I37" s="6">
        <f t="shared" ca="1" si="4"/>
        <v>11004</v>
      </c>
      <c r="J37" s="3">
        <v>0.03</v>
      </c>
      <c r="K37" s="4">
        <f t="shared" ca="1" si="5"/>
        <v>330.12</v>
      </c>
      <c r="M37" t="str">
        <f t="shared" ca="1" si="6"/>
        <v xml:space="preserve">บริษัท </v>
      </c>
      <c r="N37" t="str">
        <f t="shared" ca="1" si="7"/>
        <v>จำกัด</v>
      </c>
      <c r="O37">
        <f t="shared" ca="1" si="8"/>
        <v>54</v>
      </c>
      <c r="P37">
        <f t="shared" ca="1" si="9"/>
        <v>2</v>
      </c>
      <c r="Q37" t="str">
        <f t="shared" ca="1" si="12"/>
        <v>อยากจะรวย</v>
      </c>
      <c r="R37" t="str">
        <f t="shared" ca="1" si="13"/>
        <v>อาคมแรง</v>
      </c>
    </row>
    <row r="38" spans="1:18" ht="21.75">
      <c r="A38" s="79">
        <v>36</v>
      </c>
      <c r="B38" s="1">
        <v>2101036</v>
      </c>
      <c r="C38" s="1" t="str">
        <f t="shared" ca="1" si="11"/>
        <v>นาง ตัวอย่าง สงเจริญสี่สิบเจ็ด</v>
      </c>
      <c r="D38" s="80" t="s">
        <v>159</v>
      </c>
      <c r="E38" s="80" t="s">
        <v>198</v>
      </c>
      <c r="F38" s="2">
        <f t="shared" ca="1" si="10"/>
        <v>3</v>
      </c>
      <c r="G38" s="2" t="s">
        <v>11</v>
      </c>
      <c r="H38" s="78">
        <v>44235</v>
      </c>
      <c r="I38" s="6">
        <f t="shared" ca="1" si="4"/>
        <v>33529</v>
      </c>
      <c r="J38" s="3">
        <v>0.03</v>
      </c>
      <c r="K38" s="4">
        <f t="shared" ca="1" si="5"/>
        <v>1005.87</v>
      </c>
      <c r="M38" t="str">
        <f t="shared" ca="1" si="6"/>
        <v xml:space="preserve">นาง </v>
      </c>
      <c r="N38" t="str">
        <f t="shared" ca="1" si="7"/>
        <v/>
      </c>
      <c r="O38">
        <f t="shared" ca="1" si="8"/>
        <v>47</v>
      </c>
      <c r="P38">
        <f t="shared" ca="1" si="9"/>
        <v>1</v>
      </c>
      <c r="Q38" t="str">
        <f t="shared" ca="1" si="12"/>
        <v>ตัวอย่าง</v>
      </c>
      <c r="R38" t="str">
        <f t="shared" ca="1" si="13"/>
        <v>สงเจริญ</v>
      </c>
    </row>
    <row r="39" spans="1:18" ht="21.75">
      <c r="A39" s="79">
        <v>37</v>
      </c>
      <c r="B39" s="1">
        <v>2101037</v>
      </c>
      <c r="C39" s="1" t="str">
        <f t="shared" ca="1" si="11"/>
        <v>นาย พิ่งเปิด มาคงสัยสามสิบห้า</v>
      </c>
      <c r="D39" s="80" t="s">
        <v>106</v>
      </c>
      <c r="E39" s="80" t="s">
        <v>199</v>
      </c>
      <c r="F39" s="2">
        <f t="shared" ca="1" si="10"/>
        <v>3</v>
      </c>
      <c r="G39" s="2" t="s">
        <v>11</v>
      </c>
      <c r="H39" s="76">
        <v>44364</v>
      </c>
      <c r="I39" s="6">
        <f t="shared" ca="1" si="4"/>
        <v>46646</v>
      </c>
      <c r="J39" s="3">
        <v>0.03</v>
      </c>
      <c r="K39" s="4">
        <f t="shared" ca="1" si="5"/>
        <v>1399.3799999999999</v>
      </c>
      <c r="M39" t="str">
        <f t="shared" ca="1" si="6"/>
        <v xml:space="preserve">นาย </v>
      </c>
      <c r="N39" t="str">
        <f t="shared" ca="1" si="7"/>
        <v/>
      </c>
      <c r="O39">
        <f t="shared" ca="1" si="8"/>
        <v>35</v>
      </c>
      <c r="P39">
        <f t="shared" ca="1" si="9"/>
        <v>4</v>
      </c>
      <c r="Q39" t="str">
        <f t="shared" ca="1" si="12"/>
        <v>พิ่งเปิด</v>
      </c>
      <c r="R39" t="str">
        <f t="shared" ca="1" si="13"/>
        <v>มาคงสัย</v>
      </c>
    </row>
    <row r="40" spans="1:18" ht="21.75">
      <c r="A40" s="79">
        <v>38</v>
      </c>
      <c r="B40" s="1">
        <v>2101038</v>
      </c>
      <c r="C40" s="1" t="str">
        <f t="shared" ca="1" si="11"/>
        <v>นาง ซื้อแล้วรวย โตแล้วโตสี่สิบสาม</v>
      </c>
      <c r="D40" s="80" t="s">
        <v>107</v>
      </c>
      <c r="E40" s="80" t="s">
        <v>200</v>
      </c>
      <c r="F40" s="2">
        <f t="shared" ca="1" si="10"/>
        <v>3</v>
      </c>
      <c r="G40" s="2" t="s">
        <v>11</v>
      </c>
      <c r="H40" s="78">
        <v>44089</v>
      </c>
      <c r="I40" s="6">
        <f t="shared" ca="1" si="4"/>
        <v>14907</v>
      </c>
      <c r="J40" s="3">
        <v>0.03</v>
      </c>
      <c r="K40" s="4">
        <f t="shared" ca="1" si="5"/>
        <v>447.21</v>
      </c>
      <c r="M40" t="str">
        <f t="shared" ca="1" si="6"/>
        <v xml:space="preserve">นาง </v>
      </c>
      <c r="N40" t="str">
        <f t="shared" ca="1" si="7"/>
        <v/>
      </c>
      <c r="O40">
        <f t="shared" ca="1" si="8"/>
        <v>43</v>
      </c>
      <c r="P40">
        <f t="shared" ca="1" si="9"/>
        <v>3</v>
      </c>
      <c r="Q40" t="str">
        <f t="shared" ca="1" si="12"/>
        <v>ซื้อแล้วรวย</v>
      </c>
      <c r="R40" t="str">
        <f t="shared" ca="1" si="13"/>
        <v>โตแล้วโต</v>
      </c>
    </row>
    <row r="41" spans="1:18" ht="21.75">
      <c r="A41" s="79">
        <v>39</v>
      </c>
      <c r="B41" s="1">
        <v>2101039</v>
      </c>
      <c r="C41" s="1" t="str">
        <f t="shared" ca="1" si="11"/>
        <v>นาย พิ่งเปิด มาคงสัยสาม</v>
      </c>
      <c r="D41" s="80" t="s">
        <v>108</v>
      </c>
      <c r="E41" s="80" t="s">
        <v>201</v>
      </c>
      <c r="F41" s="2">
        <f t="shared" ca="1" si="10"/>
        <v>3</v>
      </c>
      <c r="G41" s="2" t="s">
        <v>11</v>
      </c>
      <c r="H41" s="78">
        <v>44095</v>
      </c>
      <c r="I41" s="6">
        <f t="shared" ca="1" si="4"/>
        <v>44790</v>
      </c>
      <c r="J41" s="3">
        <v>0.03</v>
      </c>
      <c r="K41" s="4">
        <f t="shared" ca="1" si="5"/>
        <v>1343.7</v>
      </c>
      <c r="M41" t="str">
        <f t="shared" ca="1" si="6"/>
        <v xml:space="preserve">นาย </v>
      </c>
      <c r="N41" t="str">
        <f t="shared" ca="1" si="7"/>
        <v/>
      </c>
      <c r="O41">
        <f t="shared" ca="1" si="8"/>
        <v>3</v>
      </c>
      <c r="P41">
        <f t="shared" ca="1" si="9"/>
        <v>4</v>
      </c>
      <c r="Q41" t="str">
        <f t="shared" ca="1" si="12"/>
        <v>พิ่งเปิด</v>
      </c>
      <c r="R41" t="str">
        <f t="shared" ca="1" si="13"/>
        <v>มาคงสัย</v>
      </c>
    </row>
    <row r="42" spans="1:18" ht="21.75">
      <c r="A42" s="79">
        <v>40</v>
      </c>
      <c r="B42" s="1">
        <v>2101040</v>
      </c>
      <c r="C42" s="1" t="str">
        <f t="shared" ca="1" si="11"/>
        <v>นาย พิ่งเปิด มาคงสัยสี่สิบเก้า</v>
      </c>
      <c r="D42" s="80" t="s">
        <v>109</v>
      </c>
      <c r="E42" s="80" t="s">
        <v>202</v>
      </c>
      <c r="F42" s="2">
        <f t="shared" ca="1" si="10"/>
        <v>3</v>
      </c>
      <c r="G42" s="2" t="s">
        <v>11</v>
      </c>
      <c r="H42" s="78">
        <v>43739</v>
      </c>
      <c r="I42" s="6">
        <f t="shared" ca="1" si="4"/>
        <v>35681</v>
      </c>
      <c r="J42" s="3">
        <v>0.03</v>
      </c>
      <c r="K42" s="4">
        <f t="shared" ca="1" si="5"/>
        <v>1070.43</v>
      </c>
      <c r="M42" t="str">
        <f t="shared" ca="1" si="6"/>
        <v xml:space="preserve">นาย </v>
      </c>
      <c r="N42" t="str">
        <f t="shared" ca="1" si="7"/>
        <v/>
      </c>
      <c r="O42">
        <f t="shared" ca="1" si="8"/>
        <v>49</v>
      </c>
      <c r="P42">
        <f t="shared" ca="1" si="9"/>
        <v>4</v>
      </c>
      <c r="Q42" t="str">
        <f t="shared" ca="1" si="12"/>
        <v>พิ่งเปิด</v>
      </c>
      <c r="R42" t="str">
        <f t="shared" ca="1" si="13"/>
        <v>มาคงสัย</v>
      </c>
    </row>
    <row r="43" spans="1:18" ht="21.75">
      <c r="A43" s="79">
        <v>42</v>
      </c>
      <c r="B43" s="1">
        <v>2101042</v>
      </c>
      <c r="C43" s="1" t="str">
        <f t="shared" ca="1" si="11"/>
        <v>บริษัท ตัวอย่าง 24 จำกัด</v>
      </c>
      <c r="D43" s="80" t="s">
        <v>110</v>
      </c>
      <c r="E43" s="80" t="s">
        <v>203</v>
      </c>
      <c r="F43" s="2">
        <f t="shared" ca="1" si="10"/>
        <v>53</v>
      </c>
      <c r="G43" s="2" t="s">
        <v>14</v>
      </c>
      <c r="H43" s="78">
        <v>43696</v>
      </c>
      <c r="I43" s="6">
        <f t="shared" ca="1" si="4"/>
        <v>8308</v>
      </c>
      <c r="J43" s="3">
        <v>0.02</v>
      </c>
      <c r="K43" s="4">
        <f t="shared" ref="K43" ca="1" si="14">I43*J43</f>
        <v>166.16</v>
      </c>
      <c r="M43" t="str">
        <f t="shared" ca="1" si="6"/>
        <v xml:space="preserve">บริษัท </v>
      </c>
      <c r="N43" t="str">
        <f t="shared" ca="1" si="7"/>
        <v>จำกัด</v>
      </c>
      <c r="O43">
        <f t="shared" ca="1" si="8"/>
        <v>24</v>
      </c>
      <c r="P43">
        <f t="shared" ca="1" si="9"/>
        <v>1</v>
      </c>
      <c r="Q43" t="str">
        <f t="shared" ca="1" si="12"/>
        <v>ตัวอย่าง</v>
      </c>
      <c r="R43" t="str">
        <f t="shared" ca="1" si="13"/>
        <v>สงเจริญ</v>
      </c>
    </row>
    <row r="44" spans="1:18" ht="21.75">
      <c r="A44" s="79">
        <v>42</v>
      </c>
      <c r="B44" s="1">
        <v>2101042</v>
      </c>
      <c r="C44" s="1" t="str">
        <f t="shared" ca="1" si="11"/>
        <v>บริษัท ซื้อแล้วรวย 30 จำกัด</v>
      </c>
      <c r="D44" s="80" t="s">
        <v>110</v>
      </c>
      <c r="E44" s="80" t="s">
        <v>203</v>
      </c>
      <c r="F44" s="2">
        <f t="shared" ca="1" si="10"/>
        <v>53</v>
      </c>
      <c r="G44" s="2" t="s">
        <v>11</v>
      </c>
      <c r="H44" s="78">
        <v>43696</v>
      </c>
      <c r="I44" s="6">
        <f t="shared" ca="1" si="4"/>
        <v>21423</v>
      </c>
      <c r="J44" s="3">
        <v>0.03</v>
      </c>
      <c r="K44" s="4">
        <f t="shared" ca="1" si="5"/>
        <v>642.68999999999994</v>
      </c>
      <c r="M44" t="str">
        <f t="shared" ca="1" si="6"/>
        <v xml:space="preserve">บริษัท </v>
      </c>
      <c r="N44" t="str">
        <f t="shared" ca="1" si="7"/>
        <v>จำกัด</v>
      </c>
      <c r="O44">
        <f t="shared" ca="1" si="8"/>
        <v>30</v>
      </c>
      <c r="P44">
        <f t="shared" ca="1" si="9"/>
        <v>3</v>
      </c>
      <c r="Q44" t="str">
        <f t="shared" ca="1" si="12"/>
        <v>ซื้อแล้วรวย</v>
      </c>
      <c r="R44" t="str">
        <f t="shared" ca="1" si="13"/>
        <v>โตแล้วโต</v>
      </c>
    </row>
    <row r="45" spans="1:18" ht="21.75">
      <c r="A45" s="79">
        <v>43</v>
      </c>
      <c r="B45" s="1">
        <v>2101043</v>
      </c>
      <c r="C45" s="1" t="str">
        <f t="shared" ca="1" si="11"/>
        <v>บริษัท อยากจะรวย 68 จำกัด</v>
      </c>
      <c r="D45" s="80" t="s">
        <v>111</v>
      </c>
      <c r="E45" s="80" t="s">
        <v>204</v>
      </c>
      <c r="F45" s="2">
        <f t="shared" ca="1" si="10"/>
        <v>53</v>
      </c>
      <c r="G45" s="2" t="s">
        <v>11</v>
      </c>
      <c r="H45" s="78">
        <v>43619</v>
      </c>
      <c r="I45" s="6">
        <f t="shared" ca="1" si="4"/>
        <v>15741</v>
      </c>
      <c r="J45" s="3">
        <v>0.03</v>
      </c>
      <c r="K45" s="4">
        <f t="shared" ca="1" si="5"/>
        <v>472.22999999999996</v>
      </c>
      <c r="M45" t="str">
        <f t="shared" ca="1" si="6"/>
        <v xml:space="preserve">บริษัท </v>
      </c>
      <c r="N45" t="str">
        <f t="shared" ca="1" si="7"/>
        <v>จำกัด</v>
      </c>
      <c r="O45">
        <f t="shared" ca="1" si="8"/>
        <v>68</v>
      </c>
      <c r="P45">
        <f t="shared" ca="1" si="9"/>
        <v>2</v>
      </c>
      <c r="Q45" t="str">
        <f t="shared" ca="1" si="12"/>
        <v>อยากจะรวย</v>
      </c>
      <c r="R45" t="str">
        <f t="shared" ca="1" si="13"/>
        <v>อาคมแรง</v>
      </c>
    </row>
    <row r="46" spans="1:18" ht="21.75">
      <c r="A46" s="79">
        <v>44</v>
      </c>
      <c r="B46" s="1">
        <v>2101044</v>
      </c>
      <c r="C46" s="1" t="str">
        <f t="shared" ca="1" si="11"/>
        <v>นาย พิ่งเปิด มาคงสัยห้าสิบสาม</v>
      </c>
      <c r="D46" s="80" t="s">
        <v>112</v>
      </c>
      <c r="E46" s="80" t="s">
        <v>205</v>
      </c>
      <c r="F46" s="2">
        <f t="shared" ca="1" si="10"/>
        <v>3</v>
      </c>
      <c r="G46" s="2" t="s">
        <v>11</v>
      </c>
      <c r="H46" s="78">
        <v>44429</v>
      </c>
      <c r="I46" s="6">
        <f t="shared" ca="1" si="4"/>
        <v>8681</v>
      </c>
      <c r="J46" s="3">
        <v>0.03</v>
      </c>
      <c r="K46" s="4">
        <f t="shared" ca="1" si="5"/>
        <v>260.43</v>
      </c>
      <c r="M46" t="str">
        <f t="shared" ca="1" si="6"/>
        <v xml:space="preserve">นาย </v>
      </c>
      <c r="N46" t="str">
        <f t="shared" ca="1" si="7"/>
        <v/>
      </c>
      <c r="O46">
        <f t="shared" ca="1" si="8"/>
        <v>53</v>
      </c>
      <c r="P46">
        <f t="shared" ca="1" si="9"/>
        <v>4</v>
      </c>
      <c r="Q46" t="str">
        <f t="shared" ca="1" si="12"/>
        <v>พิ่งเปิด</v>
      </c>
      <c r="R46" t="str">
        <f t="shared" ca="1" si="13"/>
        <v>มาคงสัย</v>
      </c>
    </row>
    <row r="47" spans="1:18" ht="21.75">
      <c r="A47" s="79">
        <v>45</v>
      </c>
      <c r="B47" s="1">
        <v>2101045</v>
      </c>
      <c r="C47" s="1" t="str">
        <f t="shared" ca="1" si="11"/>
        <v>นาง ตัวอย่าง สงเจริญเก้า</v>
      </c>
      <c r="D47" s="80" t="s">
        <v>113</v>
      </c>
      <c r="E47" s="80" t="s">
        <v>206</v>
      </c>
      <c r="F47" s="2">
        <f t="shared" ca="1" si="10"/>
        <v>3</v>
      </c>
      <c r="G47" s="2" t="s">
        <v>11</v>
      </c>
      <c r="H47" s="78">
        <v>44085</v>
      </c>
      <c r="I47" s="6">
        <f t="shared" ca="1" si="4"/>
        <v>7321</v>
      </c>
      <c r="J47" s="3">
        <v>0.03</v>
      </c>
      <c r="K47" s="4">
        <f t="shared" ca="1" si="5"/>
        <v>219.63</v>
      </c>
      <c r="M47" t="str">
        <f t="shared" ca="1" si="6"/>
        <v xml:space="preserve">นาง </v>
      </c>
      <c r="N47" t="str">
        <f t="shared" ca="1" si="7"/>
        <v/>
      </c>
      <c r="O47">
        <f t="shared" ca="1" si="8"/>
        <v>9</v>
      </c>
      <c r="P47">
        <f t="shared" ca="1" si="9"/>
        <v>1</v>
      </c>
      <c r="Q47" t="str">
        <f t="shared" ca="1" si="12"/>
        <v>ตัวอย่าง</v>
      </c>
      <c r="R47" t="str">
        <f t="shared" ca="1" si="13"/>
        <v>สงเจริญ</v>
      </c>
    </row>
    <row r="48" spans="1:18" ht="21.75">
      <c r="A48" s="79">
        <v>46</v>
      </c>
      <c r="B48" s="1">
        <v>2101046</v>
      </c>
      <c r="C48" s="1" t="str">
        <f t="shared" ca="1" si="11"/>
        <v>นาง ซื้อแล้วรวย โตแล้วโตห้าสิบสาม</v>
      </c>
      <c r="D48" s="80" t="s">
        <v>114</v>
      </c>
      <c r="E48" s="80" t="s">
        <v>207</v>
      </c>
      <c r="F48" s="2">
        <f t="shared" ca="1" si="10"/>
        <v>3</v>
      </c>
      <c r="G48" s="2" t="s">
        <v>11</v>
      </c>
      <c r="H48" s="78">
        <v>44023</v>
      </c>
      <c r="I48" s="6">
        <f t="shared" ca="1" si="4"/>
        <v>37645</v>
      </c>
      <c r="J48" s="3">
        <v>0.03</v>
      </c>
      <c r="K48" s="4">
        <f t="shared" ca="1" si="5"/>
        <v>1129.3499999999999</v>
      </c>
      <c r="M48" t="str">
        <f t="shared" ca="1" si="6"/>
        <v xml:space="preserve">นาง </v>
      </c>
      <c r="N48" t="str">
        <f t="shared" ca="1" si="7"/>
        <v/>
      </c>
      <c r="O48">
        <f t="shared" ca="1" si="8"/>
        <v>53</v>
      </c>
      <c r="P48">
        <f t="shared" ca="1" si="9"/>
        <v>3</v>
      </c>
      <c r="Q48" t="str">
        <f t="shared" ca="1" si="12"/>
        <v>ซื้อแล้วรวย</v>
      </c>
      <c r="R48" t="str">
        <f t="shared" ca="1" si="13"/>
        <v>โตแล้วโต</v>
      </c>
    </row>
    <row r="49" spans="1:18" ht="21.75">
      <c r="A49" s="79">
        <v>47</v>
      </c>
      <c r="B49" s="1">
        <v>2101047</v>
      </c>
      <c r="C49" s="1" t="str">
        <f t="shared" ca="1" si="11"/>
        <v>บริษัท ตัวอย่าง 42 จำกัด</v>
      </c>
      <c r="D49" s="80" t="s">
        <v>115</v>
      </c>
      <c r="E49" s="80" t="s">
        <v>208</v>
      </c>
      <c r="F49" s="2">
        <f t="shared" ca="1" si="10"/>
        <v>53</v>
      </c>
      <c r="G49" s="2" t="s">
        <v>11</v>
      </c>
      <c r="H49" s="78">
        <v>43999</v>
      </c>
      <c r="I49" s="6">
        <f t="shared" ca="1" si="4"/>
        <v>31382</v>
      </c>
      <c r="J49" s="3">
        <v>0.03</v>
      </c>
      <c r="K49" s="4">
        <f t="shared" ca="1" si="5"/>
        <v>941.45999999999992</v>
      </c>
      <c r="M49" t="str">
        <f t="shared" ca="1" si="6"/>
        <v xml:space="preserve">บริษัท </v>
      </c>
      <c r="N49" t="str">
        <f t="shared" ca="1" si="7"/>
        <v>จำกัด</v>
      </c>
      <c r="O49">
        <f t="shared" ca="1" si="8"/>
        <v>42</v>
      </c>
      <c r="P49">
        <f t="shared" ca="1" si="9"/>
        <v>1</v>
      </c>
      <c r="Q49" t="str">
        <f t="shared" ca="1" si="12"/>
        <v>ตัวอย่าง</v>
      </c>
      <c r="R49" t="str">
        <f t="shared" ca="1" si="13"/>
        <v>สงเจริญ</v>
      </c>
    </row>
    <row r="50" spans="1:18" ht="21.75">
      <c r="A50" s="79">
        <v>48</v>
      </c>
      <c r="B50" s="1">
        <v>2101048</v>
      </c>
      <c r="C50" s="1" t="str">
        <f t="shared" ca="1" si="11"/>
        <v>บริษัท ตัวอย่าง 56 จำกัด</v>
      </c>
      <c r="D50" s="80" t="s">
        <v>116</v>
      </c>
      <c r="E50" s="80" t="s">
        <v>209</v>
      </c>
      <c r="F50" s="2">
        <f t="shared" ca="1" si="10"/>
        <v>53</v>
      </c>
      <c r="G50" s="2" t="s">
        <v>11</v>
      </c>
      <c r="H50" s="78">
        <v>44063</v>
      </c>
      <c r="I50" s="6">
        <f t="shared" ca="1" si="4"/>
        <v>37234</v>
      </c>
      <c r="J50" s="3">
        <v>0.03</v>
      </c>
      <c r="K50" s="4">
        <f t="shared" ca="1" si="5"/>
        <v>1117.02</v>
      </c>
      <c r="M50" t="str">
        <f t="shared" ca="1" si="6"/>
        <v xml:space="preserve">บริษัท </v>
      </c>
      <c r="N50" t="str">
        <f t="shared" ca="1" si="7"/>
        <v>จำกัด</v>
      </c>
      <c r="O50">
        <f t="shared" ca="1" si="8"/>
        <v>56</v>
      </c>
      <c r="P50">
        <f t="shared" ca="1" si="9"/>
        <v>1</v>
      </c>
      <c r="Q50" t="str">
        <f t="shared" ca="1" si="12"/>
        <v>ตัวอย่าง</v>
      </c>
      <c r="R50" t="str">
        <f t="shared" ca="1" si="13"/>
        <v>สงเจริญ</v>
      </c>
    </row>
    <row r="51" spans="1:18" ht="21.75">
      <c r="A51" s="79">
        <v>49</v>
      </c>
      <c r="B51" s="1">
        <v>2101049</v>
      </c>
      <c r="C51" s="1" t="str">
        <f t="shared" ca="1" si="11"/>
        <v>นาย พิ่งเปิด มาคงสัยแปดสิบห้า</v>
      </c>
      <c r="D51" s="80" t="s">
        <v>117</v>
      </c>
      <c r="E51" s="80" t="s">
        <v>210</v>
      </c>
      <c r="F51" s="2">
        <f t="shared" ca="1" si="10"/>
        <v>3</v>
      </c>
      <c r="G51" s="2" t="s">
        <v>69</v>
      </c>
      <c r="H51" s="78">
        <v>44439</v>
      </c>
      <c r="I51" s="6">
        <f t="shared" ca="1" si="4"/>
        <v>16411</v>
      </c>
      <c r="J51" s="3">
        <v>0.01</v>
      </c>
      <c r="K51" s="4">
        <f t="shared" ca="1" si="5"/>
        <v>164.11</v>
      </c>
      <c r="M51" t="str">
        <f t="shared" ca="1" si="6"/>
        <v xml:space="preserve">นาย </v>
      </c>
      <c r="N51" t="str">
        <f t="shared" ca="1" si="7"/>
        <v/>
      </c>
      <c r="O51">
        <f t="shared" ca="1" si="8"/>
        <v>85</v>
      </c>
      <c r="P51">
        <f t="shared" ca="1" si="9"/>
        <v>4</v>
      </c>
      <c r="Q51" t="str">
        <f t="shared" ca="1" si="12"/>
        <v>พิ่งเปิด</v>
      </c>
      <c r="R51" t="str">
        <f t="shared" ca="1" si="13"/>
        <v>มาคงสัย</v>
      </c>
    </row>
    <row r="52" spans="1:18" ht="21.75">
      <c r="A52" s="79">
        <v>50</v>
      </c>
      <c r="B52" s="1">
        <v>2101050</v>
      </c>
      <c r="C52" s="1" t="str">
        <f t="shared" ca="1" si="11"/>
        <v>บริษัท ตัวอย่าง 88 จำกัด</v>
      </c>
      <c r="D52" s="80" t="s">
        <v>101</v>
      </c>
      <c r="E52" s="80" t="s">
        <v>211</v>
      </c>
      <c r="F52" s="2">
        <f t="shared" ca="1" si="10"/>
        <v>53</v>
      </c>
      <c r="G52" s="2" t="s">
        <v>11</v>
      </c>
      <c r="H52" s="78">
        <v>44197</v>
      </c>
      <c r="I52" s="6">
        <f t="shared" ca="1" si="4"/>
        <v>43502</v>
      </c>
      <c r="J52" s="3">
        <v>0.03</v>
      </c>
      <c r="K52" s="4">
        <f t="shared" ca="1" si="5"/>
        <v>1305.06</v>
      </c>
      <c r="M52" t="str">
        <f t="shared" ca="1" si="6"/>
        <v xml:space="preserve">บริษัท </v>
      </c>
      <c r="N52" t="str">
        <f t="shared" ca="1" si="7"/>
        <v>จำกัด</v>
      </c>
      <c r="O52">
        <f t="shared" ca="1" si="8"/>
        <v>88</v>
      </c>
      <c r="P52">
        <f t="shared" ca="1" si="9"/>
        <v>1</v>
      </c>
      <c r="Q52" t="str">
        <f t="shared" ca="1" si="12"/>
        <v>ตัวอย่าง</v>
      </c>
      <c r="R52" t="str">
        <f t="shared" ca="1" si="13"/>
        <v>สงเจริญ</v>
      </c>
    </row>
    <row r="53" spans="1:18" ht="21.75">
      <c r="A53" s="79">
        <v>51</v>
      </c>
      <c r="B53" s="1">
        <v>2101051</v>
      </c>
      <c r="C53" s="1" t="str">
        <f t="shared" ca="1" si="11"/>
        <v>บริษัท ตัวอย่าง 74 จำกัด</v>
      </c>
      <c r="D53" s="80" t="s">
        <v>102</v>
      </c>
      <c r="E53" s="80" t="s">
        <v>212</v>
      </c>
      <c r="F53" s="2">
        <f t="shared" ca="1" si="10"/>
        <v>53</v>
      </c>
      <c r="G53" s="2" t="s">
        <v>11</v>
      </c>
      <c r="H53" s="78">
        <v>43623</v>
      </c>
      <c r="I53" s="6">
        <f t="shared" ca="1" si="4"/>
        <v>45640</v>
      </c>
      <c r="J53" s="3">
        <v>0.03</v>
      </c>
      <c r="K53" s="4">
        <f t="shared" ca="1" si="5"/>
        <v>1369.2</v>
      </c>
      <c r="M53" t="str">
        <f t="shared" ca="1" si="6"/>
        <v xml:space="preserve">บริษัท </v>
      </c>
      <c r="N53" t="str">
        <f t="shared" ca="1" si="7"/>
        <v>จำกัด</v>
      </c>
      <c r="O53">
        <f t="shared" ca="1" si="8"/>
        <v>74</v>
      </c>
      <c r="P53">
        <f t="shared" ca="1" si="9"/>
        <v>1</v>
      </c>
      <c r="Q53" t="str">
        <f t="shared" ca="1" si="12"/>
        <v>ตัวอย่าง</v>
      </c>
      <c r="R53" t="str">
        <f t="shared" ca="1" si="13"/>
        <v>สงเจริญ</v>
      </c>
    </row>
    <row r="54" spans="1:18" ht="21.75">
      <c r="A54" s="79">
        <v>52</v>
      </c>
      <c r="B54" s="1">
        <v>2101052</v>
      </c>
      <c r="C54" s="1" t="str">
        <f t="shared" ca="1" si="11"/>
        <v>นาง ตัวอย่าง สงเจริญสี่สิบสาม</v>
      </c>
      <c r="D54" s="80" t="s">
        <v>103</v>
      </c>
      <c r="E54" s="80" t="s">
        <v>213</v>
      </c>
      <c r="F54" s="2">
        <f t="shared" ca="1" si="10"/>
        <v>3</v>
      </c>
      <c r="G54" s="2" t="s">
        <v>11</v>
      </c>
      <c r="H54" s="78">
        <v>43600</v>
      </c>
      <c r="I54" s="6">
        <f t="shared" ca="1" si="4"/>
        <v>45109</v>
      </c>
      <c r="J54" s="3">
        <v>0.03</v>
      </c>
      <c r="K54" s="4">
        <f t="shared" ca="1" si="5"/>
        <v>1353.27</v>
      </c>
      <c r="M54" t="str">
        <f t="shared" ca="1" si="6"/>
        <v xml:space="preserve">นาง </v>
      </c>
      <c r="N54" t="str">
        <f t="shared" ca="1" si="7"/>
        <v/>
      </c>
      <c r="O54">
        <f t="shared" ca="1" si="8"/>
        <v>43</v>
      </c>
      <c r="P54">
        <f t="shared" ca="1" si="9"/>
        <v>1</v>
      </c>
      <c r="Q54" t="str">
        <f t="shared" ca="1" si="12"/>
        <v>ตัวอย่าง</v>
      </c>
      <c r="R54" t="str">
        <f t="shared" ca="1" si="13"/>
        <v>สงเจริญ</v>
      </c>
    </row>
    <row r="55" spans="1:18" ht="21.75">
      <c r="A55" s="79">
        <v>53</v>
      </c>
      <c r="B55" s="1">
        <v>2101053</v>
      </c>
      <c r="C55" s="1" t="str">
        <f t="shared" ca="1" si="11"/>
        <v>บริษัท ซื้อแล้วรวย 76 จำกัด</v>
      </c>
      <c r="D55" s="80" t="s">
        <v>104</v>
      </c>
      <c r="E55" s="80" t="s">
        <v>214</v>
      </c>
      <c r="F55" s="2">
        <f t="shared" ca="1" si="10"/>
        <v>53</v>
      </c>
      <c r="G55" s="2" t="s">
        <v>11</v>
      </c>
      <c r="H55" s="78">
        <v>44349</v>
      </c>
      <c r="I55" s="6">
        <f t="shared" ca="1" si="4"/>
        <v>17393</v>
      </c>
      <c r="J55" s="3">
        <v>0.03</v>
      </c>
      <c r="K55" s="4">
        <f t="shared" ca="1" si="5"/>
        <v>521.79</v>
      </c>
      <c r="M55" t="str">
        <f t="shared" ca="1" si="6"/>
        <v xml:space="preserve">บริษัท </v>
      </c>
      <c r="N55" t="str">
        <f t="shared" ca="1" si="7"/>
        <v>จำกัด</v>
      </c>
      <c r="O55">
        <f t="shared" ca="1" si="8"/>
        <v>76</v>
      </c>
      <c r="P55">
        <f t="shared" ca="1" si="9"/>
        <v>3</v>
      </c>
      <c r="Q55" t="str">
        <f t="shared" ca="1" si="12"/>
        <v>ซื้อแล้วรวย</v>
      </c>
      <c r="R55" t="str">
        <f t="shared" ca="1" si="13"/>
        <v>โตแล้วโต</v>
      </c>
    </row>
    <row r="56" spans="1:18" ht="21.75">
      <c r="A56" s="79">
        <v>54</v>
      </c>
      <c r="B56" s="1">
        <v>2101054</v>
      </c>
      <c r="C56" s="1" t="str">
        <f t="shared" ca="1" si="11"/>
        <v>นาย พิ่งเปิด มาคงสัยยี่สิบเอ็ด</v>
      </c>
      <c r="D56" s="80" t="s">
        <v>105</v>
      </c>
      <c r="E56" s="80" t="s">
        <v>215</v>
      </c>
      <c r="F56" s="2">
        <f t="shared" ca="1" si="10"/>
        <v>3</v>
      </c>
      <c r="G56" s="2" t="s">
        <v>11</v>
      </c>
      <c r="H56" s="78">
        <v>43904</v>
      </c>
      <c r="I56" s="6">
        <f t="shared" ca="1" si="4"/>
        <v>3740</v>
      </c>
      <c r="J56" s="3">
        <v>0.03</v>
      </c>
      <c r="K56" s="4">
        <f t="shared" ca="1" si="5"/>
        <v>112.2</v>
      </c>
      <c r="M56" t="str">
        <f t="shared" ca="1" si="6"/>
        <v xml:space="preserve">นาย </v>
      </c>
      <c r="N56" t="str">
        <f t="shared" ca="1" si="7"/>
        <v/>
      </c>
      <c r="O56">
        <f t="shared" ca="1" si="8"/>
        <v>21</v>
      </c>
      <c r="P56">
        <f t="shared" ca="1" si="9"/>
        <v>4</v>
      </c>
      <c r="Q56" t="str">
        <f t="shared" ca="1" si="12"/>
        <v>พิ่งเปิด</v>
      </c>
      <c r="R56" t="str">
        <f t="shared" ca="1" si="13"/>
        <v>มาคงสัย</v>
      </c>
    </row>
    <row r="57" spans="1:18" ht="21.75">
      <c r="A57" s="79">
        <v>55</v>
      </c>
      <c r="B57" s="1">
        <v>2101055</v>
      </c>
      <c r="C57" s="1" t="str">
        <f t="shared" ca="1" si="11"/>
        <v>นาย พิ่งเปิด มาคงสัยหกสิบเก้า</v>
      </c>
      <c r="D57" s="80" t="s">
        <v>118</v>
      </c>
      <c r="E57" s="80" t="s">
        <v>216</v>
      </c>
      <c r="F57" s="2">
        <f t="shared" ca="1" si="10"/>
        <v>3</v>
      </c>
      <c r="G57" s="2" t="s">
        <v>11</v>
      </c>
      <c r="H57" s="78">
        <v>44294</v>
      </c>
      <c r="I57" s="6">
        <f t="shared" ca="1" si="4"/>
        <v>3924</v>
      </c>
      <c r="J57" s="3">
        <v>0.03</v>
      </c>
      <c r="K57" s="4">
        <f t="shared" ca="1" si="5"/>
        <v>117.72</v>
      </c>
      <c r="M57" t="str">
        <f t="shared" ca="1" si="6"/>
        <v xml:space="preserve">นาย </v>
      </c>
      <c r="N57" t="str">
        <f t="shared" ca="1" si="7"/>
        <v/>
      </c>
      <c r="O57">
        <f t="shared" ca="1" si="8"/>
        <v>69</v>
      </c>
      <c r="P57">
        <f t="shared" ca="1" si="9"/>
        <v>4</v>
      </c>
      <c r="Q57" t="str">
        <f t="shared" ca="1" si="12"/>
        <v>พิ่งเปิด</v>
      </c>
      <c r="R57" t="str">
        <f t="shared" ca="1" si="13"/>
        <v>มาคงสัย</v>
      </c>
    </row>
    <row r="58" spans="1:18" ht="21.75">
      <c r="A58" s="79">
        <v>56</v>
      </c>
      <c r="B58" s="1">
        <v>2101056</v>
      </c>
      <c r="C58" s="1" t="str">
        <f t="shared" ca="1" si="11"/>
        <v>บริษัท ตัวอย่าง 96 จำกัด</v>
      </c>
      <c r="D58" s="80" t="s">
        <v>119</v>
      </c>
      <c r="E58" s="80" t="s">
        <v>217</v>
      </c>
      <c r="F58" s="2">
        <f t="shared" ca="1" si="10"/>
        <v>53</v>
      </c>
      <c r="G58" s="2" t="s">
        <v>11</v>
      </c>
      <c r="H58" s="78">
        <v>44170</v>
      </c>
      <c r="I58" s="6">
        <f t="shared" ca="1" si="4"/>
        <v>46143</v>
      </c>
      <c r="J58" s="3">
        <v>0.03</v>
      </c>
      <c r="K58" s="4">
        <f t="shared" ca="1" si="5"/>
        <v>1384.29</v>
      </c>
      <c r="M58" t="str">
        <f t="shared" ca="1" si="6"/>
        <v xml:space="preserve">บริษัท </v>
      </c>
      <c r="N58" t="str">
        <f t="shared" ca="1" si="7"/>
        <v>จำกัด</v>
      </c>
      <c r="O58">
        <f t="shared" ca="1" si="8"/>
        <v>96</v>
      </c>
      <c r="P58">
        <f t="shared" ca="1" si="9"/>
        <v>1</v>
      </c>
      <c r="Q58" t="str">
        <f t="shared" ca="1" si="12"/>
        <v>ตัวอย่าง</v>
      </c>
      <c r="R58" t="str">
        <f t="shared" ca="1" si="13"/>
        <v>สงเจริญ</v>
      </c>
    </row>
    <row r="59" spans="1:18" ht="21.75">
      <c r="A59" s="79">
        <v>57</v>
      </c>
      <c r="B59" s="1">
        <v>2101057</v>
      </c>
      <c r="C59" s="1" t="str">
        <f t="shared" ca="1" si="11"/>
        <v>นาย อยากจะรวย อาคมแรงสามสิบเก้า</v>
      </c>
      <c r="D59" s="80" t="s">
        <v>120</v>
      </c>
      <c r="E59" s="80" t="s">
        <v>218</v>
      </c>
      <c r="F59" s="2">
        <f t="shared" ca="1" si="10"/>
        <v>3</v>
      </c>
      <c r="G59" s="2" t="s">
        <v>11</v>
      </c>
      <c r="H59" s="78">
        <v>43791</v>
      </c>
      <c r="I59" s="6">
        <f t="shared" ca="1" si="4"/>
        <v>4474</v>
      </c>
      <c r="J59" s="3">
        <v>0.03</v>
      </c>
      <c r="K59" s="4">
        <f t="shared" ca="1" si="5"/>
        <v>134.22</v>
      </c>
      <c r="M59" t="str">
        <f t="shared" ca="1" si="6"/>
        <v xml:space="preserve">นาย </v>
      </c>
      <c r="N59" t="str">
        <f t="shared" ca="1" si="7"/>
        <v/>
      </c>
      <c r="O59">
        <f t="shared" ca="1" si="8"/>
        <v>39</v>
      </c>
      <c r="P59">
        <f t="shared" ca="1" si="9"/>
        <v>2</v>
      </c>
      <c r="Q59" t="str">
        <f t="shared" ca="1" si="12"/>
        <v>อยากจะรวย</v>
      </c>
      <c r="R59" t="str">
        <f t="shared" ca="1" si="13"/>
        <v>อาคมแรง</v>
      </c>
    </row>
    <row r="60" spans="1:18" ht="21.75">
      <c r="A60" s="79">
        <v>58</v>
      </c>
      <c r="B60" s="1">
        <v>2101058</v>
      </c>
      <c r="C60" s="1" t="str">
        <f t="shared" ca="1" si="11"/>
        <v>บริษัท พิ่งเปิด 24 จำกัด</v>
      </c>
      <c r="D60" s="80" t="s">
        <v>121</v>
      </c>
      <c r="E60" s="80" t="s">
        <v>219</v>
      </c>
      <c r="F60" s="2">
        <f t="shared" ca="1" si="10"/>
        <v>53</v>
      </c>
      <c r="G60" s="2" t="s">
        <v>14</v>
      </c>
      <c r="H60" s="78">
        <v>44126</v>
      </c>
      <c r="I60" s="6">
        <f t="shared" ca="1" si="4"/>
        <v>17241</v>
      </c>
      <c r="J60" s="3">
        <v>0.02</v>
      </c>
      <c r="K60" s="4">
        <f t="shared" ca="1" si="5"/>
        <v>344.82</v>
      </c>
      <c r="M60" t="str">
        <f t="shared" ca="1" si="6"/>
        <v xml:space="preserve">บริษัท </v>
      </c>
      <c r="N60" t="str">
        <f t="shared" ca="1" si="7"/>
        <v>จำกัด</v>
      </c>
      <c r="O60">
        <f t="shared" ca="1" si="8"/>
        <v>24</v>
      </c>
      <c r="P60">
        <f t="shared" ca="1" si="9"/>
        <v>4</v>
      </c>
      <c r="Q60" t="str">
        <f t="shared" ca="1" si="12"/>
        <v>พิ่งเปิด</v>
      </c>
      <c r="R60" t="str">
        <f t="shared" ca="1" si="13"/>
        <v>มาคงสัย</v>
      </c>
    </row>
  </sheetData>
  <autoFilter ref="A2:L60" xr:uid="{2595288F-2428-4F62-BE76-285C9AE5EFDF}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4" name="Button 15">
              <controlPr defaultSize="0" print="0" autoFill="0" autoPict="0" macro="[0]!Savepd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E0395-A318-46ED-8C2E-88CD83EDE291}">
  <sheetPr codeName="Sheet4"/>
  <dimension ref="A1:P92"/>
  <sheetViews>
    <sheetView workbookViewId="0">
      <selection activeCell="I13" sqref="I1:XFD1048576"/>
    </sheetView>
    <sheetView workbookViewId="1">
      <selection activeCell="D90" sqref="D90"/>
    </sheetView>
  </sheetViews>
  <sheetFormatPr defaultColWidth="0" defaultRowHeight="18.75" zeroHeight="1"/>
  <cols>
    <col min="1" max="1" width="9" style="8" customWidth="1"/>
    <col min="2" max="2" width="18.28515625" style="8" customWidth="1"/>
    <col min="3" max="3" width="7.5703125" style="8" customWidth="1"/>
    <col min="4" max="4" width="33.28515625" style="8" customWidth="1"/>
    <col min="5" max="5" width="10.28515625" style="8" customWidth="1"/>
    <col min="6" max="6" width="13.140625" style="8" customWidth="1"/>
    <col min="7" max="7" width="12.140625" style="8" customWidth="1"/>
    <col min="8" max="8" width="1.140625" style="8" customWidth="1"/>
    <col min="9" max="9" width="20.7109375" style="8" hidden="1" customWidth="1"/>
    <col min="10" max="16384" width="9" style="8" hidden="1"/>
  </cols>
  <sheetData>
    <row r="1" spans="1:11">
      <c r="A1" s="7" t="s">
        <v>15</v>
      </c>
      <c r="B1" s="7"/>
      <c r="C1" s="7"/>
      <c r="D1" s="7"/>
      <c r="E1" s="7"/>
      <c r="F1" s="7"/>
      <c r="G1" s="7"/>
    </row>
    <row r="2" spans="1:11">
      <c r="A2" s="8" t="s">
        <v>17</v>
      </c>
      <c r="E2" s="9" t="s">
        <v>18</v>
      </c>
      <c r="F2" s="1">
        <v>2101058</v>
      </c>
    </row>
    <row r="3" spans="1:11">
      <c r="A3" s="10" t="s">
        <v>19</v>
      </c>
      <c r="B3" s="11"/>
      <c r="C3" s="11"/>
      <c r="D3" s="12" t="s">
        <v>20</v>
      </c>
      <c r="E3" s="13"/>
      <c r="F3" s="81" t="s">
        <v>71</v>
      </c>
      <c r="G3" s="14"/>
    </row>
    <row r="4" spans="1:11">
      <c r="A4" s="15" t="s">
        <v>21</v>
      </c>
      <c r="B4" s="8" t="s">
        <v>70</v>
      </c>
      <c r="D4" s="8" t="s">
        <v>22</v>
      </c>
      <c r="G4" s="16" t="s">
        <v>16</v>
      </c>
    </row>
    <row r="5" spans="1:11">
      <c r="A5" s="17" t="s">
        <v>23</v>
      </c>
      <c r="B5" s="8" t="s">
        <v>72</v>
      </c>
      <c r="D5" s="18"/>
      <c r="E5" s="18"/>
      <c r="F5" s="18"/>
      <c r="G5" s="19"/>
    </row>
    <row r="6" spans="1:11">
      <c r="A6" s="10" t="s">
        <v>24</v>
      </c>
      <c r="B6" s="11"/>
      <c r="C6" s="11"/>
      <c r="D6" s="12" t="s">
        <v>20</v>
      </c>
      <c r="E6" s="12"/>
      <c r="F6" s="20" t="str">
        <f>VLOOKUP($F$2,'Portfolio 2'!$B:$K,4,FALSE)</f>
        <v>05815XXX01016</v>
      </c>
      <c r="G6" s="21"/>
    </row>
    <row r="7" spans="1:11">
      <c r="A7" s="15" t="s">
        <v>21</v>
      </c>
      <c r="B7" s="8" t="str">
        <f ca="1">VLOOKUP($F$2,'Portfolio 2'!$B:$K,2,FALSE)</f>
        <v>บริษัท พิ่งเปิด 24 จำกัด</v>
      </c>
      <c r="G7" s="22">
        <f ca="1">VLOOKUP($F$2,'Portfolio 2'!$B:$K,5,0)</f>
        <v>53</v>
      </c>
    </row>
    <row r="8" spans="1:11">
      <c r="A8" s="17" t="s">
        <v>23</v>
      </c>
      <c r="B8" s="18" t="str">
        <f>VLOOKUP($F$2,'Portfolio 2'!$B:$K,3,0)</f>
        <v>1234 ถ.สุมนเทวราช ต.ในเวียง อ.เมือง น่าน 12345</v>
      </c>
      <c r="C8" s="18"/>
      <c r="D8" s="18"/>
      <c r="E8" s="18"/>
      <c r="F8" s="18"/>
      <c r="G8" s="19"/>
      <c r="I8" s="20"/>
    </row>
    <row r="9" spans="1:11" ht="20.25" customHeight="1">
      <c r="A9" s="23"/>
      <c r="B9" s="117" t="str">
        <f>MID($F$2,5,8)</f>
        <v>058</v>
      </c>
      <c r="C9" s="9" t="str">
        <f ca="1">IF($G$7="1ก","X"," ")</f>
        <v xml:space="preserve"> </v>
      </c>
      <c r="D9" s="9"/>
      <c r="E9" s="12"/>
      <c r="F9" s="24" t="str">
        <f ca="1">IF($G$7=3,"X"," ")</f>
        <v xml:space="preserve"> </v>
      </c>
      <c r="G9" s="25"/>
      <c r="H9" s="20"/>
      <c r="I9" s="20"/>
    </row>
    <row r="10" spans="1:11" ht="24">
      <c r="A10" s="26"/>
      <c r="B10" s="118"/>
      <c r="C10" s="27"/>
      <c r="D10" s="28"/>
      <c r="E10" s="29" t="str">
        <f ca="1">IF($G$7=53,"X"," ")</f>
        <v>X</v>
      </c>
      <c r="F10" s="28"/>
      <c r="G10" s="30"/>
      <c r="K10"/>
    </row>
    <row r="11" spans="1:11">
      <c r="A11" s="100" t="s">
        <v>25</v>
      </c>
      <c r="B11" s="101"/>
      <c r="C11" s="101"/>
      <c r="D11" s="102"/>
      <c r="E11" s="31" t="s">
        <v>26</v>
      </c>
      <c r="F11" s="32" t="s">
        <v>27</v>
      </c>
      <c r="G11" s="33" t="s">
        <v>28</v>
      </c>
    </row>
    <row r="12" spans="1:11">
      <c r="A12" s="103"/>
      <c r="B12" s="104"/>
      <c r="C12" s="104"/>
      <c r="D12" s="105"/>
      <c r="E12" s="34" t="s">
        <v>29</v>
      </c>
      <c r="F12" s="35"/>
      <c r="G12" s="36" t="s">
        <v>30</v>
      </c>
    </row>
    <row r="13" spans="1:11">
      <c r="A13" s="37" t="s">
        <v>31</v>
      </c>
      <c r="B13" s="38"/>
      <c r="C13" s="38"/>
      <c r="D13" s="38"/>
      <c r="E13" s="39"/>
      <c r="F13" s="40"/>
      <c r="G13" s="41"/>
    </row>
    <row r="14" spans="1:11">
      <c r="A14" s="42" t="s">
        <v>32</v>
      </c>
      <c r="B14" s="43"/>
      <c r="C14" s="43"/>
      <c r="D14" s="43"/>
      <c r="E14" s="44"/>
      <c r="F14" s="45"/>
      <c r="G14" s="46"/>
    </row>
    <row r="15" spans="1:11">
      <c r="A15" s="42" t="s">
        <v>33</v>
      </c>
      <c r="B15" s="43"/>
      <c r="C15" s="43"/>
      <c r="D15" s="43"/>
      <c r="E15" s="44"/>
      <c r="F15" s="45"/>
      <c r="G15" s="46"/>
    </row>
    <row r="16" spans="1:11">
      <c r="A16" s="42" t="s">
        <v>34</v>
      </c>
      <c r="B16" s="43"/>
      <c r="C16" s="43"/>
      <c r="D16" s="43"/>
      <c r="E16" s="47"/>
      <c r="F16" s="48">
        <f>IF($D$34="ดอกเบี้ย",F34,0)</f>
        <v>0</v>
      </c>
      <c r="G16" s="49">
        <f>IF($D$34="ดอกเบี้ย",G34,0)</f>
        <v>0</v>
      </c>
    </row>
    <row r="17" spans="1:7">
      <c r="A17" s="42" t="s">
        <v>35</v>
      </c>
      <c r="B17" s="43"/>
      <c r="C17" s="43"/>
      <c r="D17" s="43"/>
      <c r="E17" s="44"/>
      <c r="F17" s="45"/>
      <c r="G17" s="46"/>
    </row>
    <row r="18" spans="1:7">
      <c r="A18" s="42" t="s">
        <v>36</v>
      </c>
      <c r="B18" s="43"/>
      <c r="C18" s="43"/>
      <c r="D18" s="43"/>
      <c r="E18" s="44"/>
      <c r="F18" s="45"/>
      <c r="G18" s="46"/>
    </row>
    <row r="19" spans="1:7">
      <c r="A19" s="42" t="s">
        <v>37</v>
      </c>
      <c r="B19" s="43"/>
      <c r="C19" s="43"/>
      <c r="D19" s="43"/>
      <c r="E19" s="44"/>
      <c r="F19" s="45"/>
      <c r="G19" s="46"/>
    </row>
    <row r="20" spans="1:7">
      <c r="A20" s="42"/>
      <c r="B20" s="43" t="s">
        <v>38</v>
      </c>
      <c r="C20" s="43"/>
      <c r="D20" s="43"/>
      <c r="E20" s="44"/>
      <c r="F20" s="45"/>
      <c r="G20" s="46" t="s">
        <v>39</v>
      </c>
    </row>
    <row r="21" spans="1:7">
      <c r="A21" s="42"/>
      <c r="B21" s="43" t="s">
        <v>40</v>
      </c>
      <c r="C21" s="43"/>
      <c r="D21" s="43"/>
      <c r="E21" s="44"/>
      <c r="F21" s="45"/>
      <c r="G21" s="46"/>
    </row>
    <row r="22" spans="1:7">
      <c r="A22" s="42"/>
      <c r="B22" s="43" t="s">
        <v>41</v>
      </c>
      <c r="C22" s="43"/>
      <c r="D22" s="43"/>
      <c r="E22" s="44"/>
      <c r="F22" s="45"/>
      <c r="G22" s="46"/>
    </row>
    <row r="23" spans="1:7">
      <c r="A23" s="42"/>
      <c r="B23" s="43" t="s">
        <v>42</v>
      </c>
      <c r="C23" s="43"/>
      <c r="D23" s="43"/>
      <c r="E23" s="44"/>
      <c r="F23" s="45"/>
      <c r="G23" s="46"/>
    </row>
    <row r="24" spans="1:7">
      <c r="A24" s="42" t="s">
        <v>43</v>
      </c>
      <c r="B24" s="43"/>
      <c r="C24" s="43"/>
      <c r="D24" s="43"/>
      <c r="E24" s="44"/>
      <c r="F24" s="45"/>
      <c r="G24" s="46"/>
    </row>
    <row r="25" spans="1:7">
      <c r="A25" s="42"/>
      <c r="B25" s="43" t="s">
        <v>44</v>
      </c>
      <c r="C25" s="43"/>
      <c r="D25" s="43"/>
      <c r="E25" s="44"/>
      <c r="F25" s="45"/>
      <c r="G25" s="46"/>
    </row>
    <row r="26" spans="1:7">
      <c r="A26" s="42"/>
      <c r="B26" s="43" t="s">
        <v>45</v>
      </c>
      <c r="C26" s="43"/>
      <c r="D26" s="43"/>
      <c r="E26" s="44"/>
      <c r="F26" s="45"/>
      <c r="G26" s="46"/>
    </row>
    <row r="27" spans="1:7">
      <c r="A27" s="42"/>
      <c r="B27" s="43" t="s">
        <v>46</v>
      </c>
      <c r="C27" s="43"/>
      <c r="D27" s="43"/>
      <c r="E27" s="44"/>
      <c r="F27" s="45"/>
      <c r="G27" s="46"/>
    </row>
    <row r="28" spans="1:7">
      <c r="A28" s="42"/>
      <c r="B28" s="43" t="s">
        <v>47</v>
      </c>
      <c r="C28" s="43"/>
      <c r="D28" s="43"/>
      <c r="E28" s="44"/>
      <c r="F28" s="45"/>
      <c r="G28" s="46"/>
    </row>
    <row r="29" spans="1:7">
      <c r="A29" s="42"/>
      <c r="B29" s="43" t="s">
        <v>48</v>
      </c>
      <c r="C29" s="43"/>
      <c r="D29" s="43"/>
      <c r="E29" s="44"/>
      <c r="F29" s="45"/>
      <c r="G29" s="46"/>
    </row>
    <row r="30" spans="1:7">
      <c r="A30" s="42"/>
      <c r="B30" s="43" t="s">
        <v>49</v>
      </c>
      <c r="C30" s="43"/>
      <c r="D30" s="43"/>
      <c r="E30" s="44"/>
      <c r="F30" s="45"/>
      <c r="G30" s="46"/>
    </row>
    <row r="31" spans="1:7">
      <c r="A31" s="42" t="s">
        <v>50</v>
      </c>
      <c r="B31" s="43"/>
      <c r="C31" s="43"/>
      <c r="D31" s="43"/>
      <c r="E31" s="44"/>
      <c r="F31" s="45"/>
      <c r="G31" s="46"/>
    </row>
    <row r="32" spans="1:7">
      <c r="A32" s="42" t="s">
        <v>51</v>
      </c>
      <c r="B32" s="43"/>
      <c r="C32" s="43"/>
      <c r="D32" s="43"/>
      <c r="E32" s="44"/>
      <c r="F32" s="45"/>
      <c r="G32" s="46"/>
    </row>
    <row r="33" spans="1:16">
      <c r="A33" s="42" t="s">
        <v>52</v>
      </c>
      <c r="B33" s="43"/>
      <c r="C33" s="43"/>
      <c r="D33" s="43"/>
      <c r="E33" s="44"/>
      <c r="F33" s="45"/>
      <c r="G33" s="46"/>
    </row>
    <row r="34" spans="1:16">
      <c r="A34" s="42" t="s">
        <v>53</v>
      </c>
      <c r="B34" s="43"/>
      <c r="C34" s="43"/>
      <c r="D34" s="50" t="str">
        <f>VLOOKUP($F$2,'Portfolio 2'!$B:$K,6,0)</f>
        <v>ค่าโฆษณา</v>
      </c>
      <c r="E34" s="51">
        <f>VLOOKUP($F$2,'Portfolio 2'!$B:$K,7,0)</f>
        <v>44126</v>
      </c>
      <c r="F34" s="52">
        <f ca="1">VLOOKUP($F$2,'Portfolio 2'!$B:$K,8,0)</f>
        <v>17241</v>
      </c>
      <c r="G34" s="53">
        <f ca="1">VLOOKUP($F$2,'Portfolio 2'!$B:$K,10,0)</f>
        <v>344.82</v>
      </c>
      <c r="H34" s="54"/>
      <c r="I34" s="54"/>
      <c r="J34" s="55"/>
      <c r="K34" s="55"/>
      <c r="L34" s="55"/>
      <c r="M34" s="55"/>
      <c r="N34" s="55"/>
      <c r="O34" s="55"/>
      <c r="P34" s="55"/>
    </row>
    <row r="35" spans="1:16">
      <c r="A35" s="42" t="s">
        <v>54</v>
      </c>
      <c r="B35" s="43"/>
      <c r="C35" s="43"/>
      <c r="D35" s="50" t="str" cm="1">
        <f t="array" ref="D35">IF(COUNTIF('Portfolio 2'!$B:$B,$F$2)&gt;1,INDEX('Portfolio 2'!$B:$K,MATCH(F2,'Portfolio 2'!$B:$B,0)+1,6),"")</f>
        <v/>
      </c>
      <c r="E35" s="51" t="str">
        <f>IF(D35&lt;&gt;"",E34,"")</f>
        <v/>
      </c>
      <c r="F35" s="52" t="str" cm="1">
        <f t="array" ref="F35">IF(COUNTIF('Portfolio 2'!$B:$B,$F$2)&gt;1,INDEX('Portfolio 2'!$B:$K,MATCH(F2,'Portfolio 2'!$B:$B,0)+1,8),"")</f>
        <v/>
      </c>
      <c r="G35" s="53" t="str" cm="1">
        <f t="array" ref="G35">IF(COUNTIF('Portfolio 2'!$B:$B,$F$2)&gt;1,INDEX('Portfolio 2'!$B:$K,MATCH(F2,'Portfolio 2'!$B:$B,0)+1,8),"")</f>
        <v/>
      </c>
      <c r="H35" s="56"/>
      <c r="I35" s="56"/>
      <c r="J35" s="55"/>
      <c r="K35" s="55"/>
      <c r="L35" s="55"/>
      <c r="M35" s="55"/>
      <c r="N35" s="55"/>
      <c r="O35" s="55"/>
      <c r="P35" s="55"/>
    </row>
    <row r="36" spans="1:16">
      <c r="A36" s="57"/>
      <c r="B36" s="58"/>
      <c r="C36" s="58"/>
      <c r="E36" s="44"/>
      <c r="G36" s="59"/>
      <c r="J36" s="55"/>
      <c r="K36" s="55"/>
      <c r="L36" s="55"/>
      <c r="M36" s="55"/>
      <c r="N36" s="55"/>
      <c r="O36" s="55"/>
      <c r="P36" s="55"/>
    </row>
    <row r="37" spans="1:16" ht="19.5" thickBot="1">
      <c r="A37" s="60"/>
      <c r="B37" s="11"/>
      <c r="C37" s="11"/>
      <c r="D37" s="61"/>
      <c r="E37" s="62" t="s">
        <v>55</v>
      </c>
      <c r="F37" s="63">
        <f ca="1">SUM(F34:F36)</f>
        <v>17241</v>
      </c>
      <c r="G37" s="64">
        <f ca="1">SUM(G34:G36)</f>
        <v>344.82</v>
      </c>
      <c r="J37" s="55"/>
      <c r="K37" s="55"/>
      <c r="L37" s="55"/>
      <c r="M37" s="55"/>
      <c r="N37" s="55"/>
      <c r="O37" s="55"/>
      <c r="P37" s="55"/>
    </row>
    <row r="38" spans="1:16" ht="5.25" customHeight="1" thickTop="1">
      <c r="A38" s="15"/>
      <c r="G38" s="16"/>
      <c r="J38" s="55"/>
      <c r="K38" s="55"/>
      <c r="L38" s="55"/>
      <c r="M38" s="55"/>
      <c r="N38" s="55"/>
      <c r="O38" s="55"/>
      <c r="P38" s="55"/>
    </row>
    <row r="39" spans="1:16">
      <c r="A39" s="17" t="s">
        <v>56</v>
      </c>
      <c r="B39" s="18"/>
      <c r="C39" s="18"/>
      <c r="D39" s="106" t="str">
        <f ca="1">BAHTTEXT(G37)</f>
        <v>สามร้อยสี่สิบสี่บาทแปดสิบสองสตางค์</v>
      </c>
      <c r="E39" s="106"/>
      <c r="F39" s="106"/>
      <c r="G39" s="107"/>
      <c r="J39" s="55"/>
      <c r="K39" s="55"/>
      <c r="L39" s="55"/>
      <c r="M39" s="55"/>
      <c r="N39" s="55"/>
      <c r="O39" s="55"/>
      <c r="P39" s="55"/>
    </row>
    <row r="40" spans="1:16" s="65" customFormat="1">
      <c r="A40" s="17" t="s">
        <v>57</v>
      </c>
      <c r="B40" s="18"/>
      <c r="C40" s="18"/>
      <c r="D40" s="18"/>
      <c r="E40" s="18"/>
      <c r="F40" s="18"/>
      <c r="G40" s="19"/>
      <c r="J40" s="55"/>
      <c r="K40" s="55"/>
      <c r="L40" s="55"/>
      <c r="M40" s="55"/>
      <c r="N40" s="55"/>
      <c r="O40" s="55"/>
      <c r="P40" s="55"/>
    </row>
    <row r="41" spans="1:16" s="65" customFormat="1">
      <c r="A41" s="66" t="s">
        <v>58</v>
      </c>
      <c r="B41" s="67"/>
      <c r="C41" s="67"/>
      <c r="D41" s="67"/>
      <c r="E41" s="67"/>
      <c r="F41" s="67"/>
      <c r="G41" s="68"/>
      <c r="J41" s="55"/>
      <c r="K41" s="55"/>
      <c r="L41" s="55"/>
      <c r="M41" s="55"/>
      <c r="N41" s="55"/>
      <c r="O41" s="55"/>
      <c r="P41" s="55"/>
    </row>
    <row r="42" spans="1:16" s="65" customFormat="1">
      <c r="A42" s="60" t="s">
        <v>59</v>
      </c>
      <c r="B42" s="108" t="s">
        <v>60</v>
      </c>
      <c r="C42" s="109"/>
      <c r="D42" s="114" t="s">
        <v>61</v>
      </c>
      <c r="E42" s="115"/>
      <c r="F42" s="115"/>
      <c r="G42" s="116"/>
      <c r="J42" s="55"/>
      <c r="K42" s="55"/>
      <c r="L42" s="55"/>
      <c r="M42" s="55"/>
      <c r="N42" s="55"/>
      <c r="O42" s="55"/>
      <c r="P42" s="55"/>
    </row>
    <row r="43" spans="1:16" s="65" customFormat="1">
      <c r="A43" s="15"/>
      <c r="B43" s="110"/>
      <c r="C43" s="111"/>
      <c r="D43" s="15"/>
      <c r="E43" s="8"/>
      <c r="F43" s="8"/>
      <c r="G43" s="16"/>
      <c r="J43" s="55"/>
      <c r="K43" s="55"/>
      <c r="L43" s="55"/>
      <c r="M43" s="55"/>
      <c r="N43" s="55"/>
      <c r="O43" s="55"/>
      <c r="P43" s="55"/>
    </row>
    <row r="44" spans="1:16" s="65" customFormat="1">
      <c r="A44" s="15"/>
      <c r="B44" s="110"/>
      <c r="C44" s="111"/>
      <c r="D44" s="23" t="s">
        <v>73</v>
      </c>
      <c r="E44" s="8" t="s">
        <v>62</v>
      </c>
      <c r="F44" s="8"/>
      <c r="G44" s="16"/>
      <c r="J44" s="55"/>
      <c r="K44" s="55"/>
      <c r="L44" s="55"/>
      <c r="M44" s="55"/>
      <c r="N44" s="55"/>
      <c r="O44" s="55"/>
      <c r="P44" s="55"/>
    </row>
    <row r="45" spans="1:16">
      <c r="A45" s="17"/>
      <c r="B45" s="112"/>
      <c r="C45" s="113"/>
      <c r="D45" s="69">
        <f>IF(D34&gt;0,E34,IF(D34&gt;0,E35))</f>
        <v>44126</v>
      </c>
      <c r="E45" s="18" t="s">
        <v>63</v>
      </c>
      <c r="F45" s="18"/>
      <c r="G45" s="19"/>
      <c r="J45" s="55"/>
      <c r="K45" s="55"/>
      <c r="L45" s="55"/>
      <c r="M45" s="55"/>
      <c r="N45" s="55"/>
      <c r="O45" s="55"/>
      <c r="P45" s="55"/>
    </row>
    <row r="46" spans="1:16" ht="16.5" customHeight="1">
      <c r="A46" s="8" t="s">
        <v>64</v>
      </c>
      <c r="F46" s="70"/>
      <c r="G46" s="70"/>
      <c r="J46" s="55"/>
      <c r="K46" s="55"/>
      <c r="L46" s="55"/>
      <c r="M46" s="55"/>
      <c r="N46" s="55"/>
      <c r="O46" s="55"/>
      <c r="P46" s="55"/>
    </row>
    <row r="47" spans="1:16">
      <c r="A47" s="7" t="s">
        <v>65</v>
      </c>
      <c r="B47" s="7"/>
      <c r="C47" s="7"/>
      <c r="D47" s="7"/>
      <c r="E47" s="7"/>
      <c r="F47" s="7"/>
      <c r="G47" s="7"/>
      <c r="J47" s="55"/>
      <c r="K47" s="55"/>
      <c r="L47" s="55"/>
      <c r="M47" s="55"/>
      <c r="N47" s="55"/>
      <c r="O47" s="55"/>
      <c r="P47" s="55"/>
    </row>
    <row r="48" spans="1:16" ht="21.75">
      <c r="A48" s="8" t="s">
        <v>66</v>
      </c>
      <c r="E48" s="9" t="s">
        <v>18</v>
      </c>
      <c r="F48" s="2">
        <f>$F$2</f>
        <v>2101058</v>
      </c>
      <c r="J48" s="55"/>
      <c r="K48" s="55"/>
      <c r="L48" s="55"/>
      <c r="M48" s="55"/>
      <c r="N48" s="55"/>
      <c r="O48" s="55"/>
      <c r="P48" s="55"/>
    </row>
    <row r="49" spans="1:7">
      <c r="A49" s="10" t="s">
        <v>19</v>
      </c>
      <c r="B49" s="11"/>
      <c r="C49" s="11"/>
      <c r="D49" s="12" t="s">
        <v>20</v>
      </c>
      <c r="E49" s="13"/>
      <c r="F49" s="81" t="s">
        <v>71</v>
      </c>
      <c r="G49" s="14"/>
    </row>
    <row r="50" spans="1:7">
      <c r="A50" s="15" t="s">
        <v>21</v>
      </c>
      <c r="B50" s="8" t="s">
        <v>70</v>
      </c>
      <c r="D50" s="8" t="s">
        <v>22</v>
      </c>
      <c r="G50" s="16" t="s">
        <v>16</v>
      </c>
    </row>
    <row r="51" spans="1:7">
      <c r="A51" s="17" t="s">
        <v>23</v>
      </c>
      <c r="B51" s="8" t="s">
        <v>72</v>
      </c>
      <c r="D51" s="18"/>
      <c r="E51" s="18"/>
      <c r="F51" s="18"/>
      <c r="G51" s="19"/>
    </row>
    <row r="52" spans="1:7">
      <c r="A52" s="10" t="s">
        <v>24</v>
      </c>
      <c r="B52" s="11"/>
      <c r="C52" s="11"/>
      <c r="D52" s="12" t="s">
        <v>20</v>
      </c>
      <c r="E52" s="12"/>
      <c r="F52" s="20" t="str">
        <f>F6</f>
        <v>05815XXX01016</v>
      </c>
      <c r="G52" s="21"/>
    </row>
    <row r="53" spans="1:7">
      <c r="A53" s="15" t="s">
        <v>21</v>
      </c>
      <c r="B53" s="8" t="str">
        <f ca="1">B7</f>
        <v>บริษัท พิ่งเปิด 24 จำกัด</v>
      </c>
      <c r="G53" s="22">
        <f ca="1">G7</f>
        <v>53</v>
      </c>
    </row>
    <row r="54" spans="1:7">
      <c r="A54" s="17" t="s">
        <v>23</v>
      </c>
      <c r="B54" s="8" t="str">
        <f>B8</f>
        <v>1234 ถ.สุมนเทวราช ต.ในเวียง อ.เมือง น่าน 12345</v>
      </c>
      <c r="C54" s="18"/>
      <c r="D54" s="18"/>
      <c r="E54" s="18"/>
      <c r="F54" s="18"/>
      <c r="G54" s="19"/>
    </row>
    <row r="55" spans="1:7" ht="18.75" customHeight="1">
      <c r="A55" s="23"/>
      <c r="B55" s="117" t="str">
        <f>MID($F$2,5,8)</f>
        <v>058</v>
      </c>
      <c r="C55" s="9" t="str">
        <f ca="1">IF($G$7="1ก","X"," ")</f>
        <v xml:space="preserve"> </v>
      </c>
      <c r="D55" s="9"/>
      <c r="E55" s="12"/>
      <c r="F55" s="24" t="str">
        <f ca="1">IF($G$7=3,"X"," ")</f>
        <v xml:space="preserve"> </v>
      </c>
      <c r="G55" s="25"/>
    </row>
    <row r="56" spans="1:7" ht="24">
      <c r="A56" s="26"/>
      <c r="B56" s="118"/>
      <c r="C56" s="27"/>
      <c r="D56" s="28"/>
      <c r="E56" s="29" t="str">
        <f ca="1">IF($G$7=53,"X"," ")</f>
        <v>X</v>
      </c>
      <c r="F56" s="28"/>
      <c r="G56" s="30"/>
    </row>
    <row r="57" spans="1:7">
      <c r="A57" s="100" t="s">
        <v>25</v>
      </c>
      <c r="B57" s="101"/>
      <c r="C57" s="101"/>
      <c r="D57" s="102"/>
      <c r="E57" s="31" t="s">
        <v>26</v>
      </c>
      <c r="F57" s="32" t="s">
        <v>27</v>
      </c>
      <c r="G57" s="33" t="s">
        <v>28</v>
      </c>
    </row>
    <row r="58" spans="1:7">
      <c r="A58" s="103"/>
      <c r="B58" s="104"/>
      <c r="C58" s="104"/>
      <c r="D58" s="105"/>
      <c r="E58" s="34" t="s">
        <v>29</v>
      </c>
      <c r="F58" s="35"/>
      <c r="G58" s="36" t="s">
        <v>30</v>
      </c>
    </row>
    <row r="59" spans="1:7">
      <c r="A59" s="37" t="s">
        <v>31</v>
      </c>
      <c r="B59" s="38"/>
      <c r="C59" s="38"/>
      <c r="D59" s="38"/>
      <c r="E59" s="39"/>
      <c r="F59" s="40"/>
      <c r="G59" s="41"/>
    </row>
    <row r="60" spans="1:7">
      <c r="A60" s="42" t="s">
        <v>32</v>
      </c>
      <c r="B60" s="43"/>
      <c r="C60" s="43"/>
      <c r="D60" s="43"/>
      <c r="E60" s="44"/>
      <c r="F60" s="45"/>
      <c r="G60" s="46"/>
    </row>
    <row r="61" spans="1:7">
      <c r="A61" s="42" t="s">
        <v>33</v>
      </c>
      <c r="B61" s="43"/>
      <c r="C61" s="43"/>
      <c r="D61" s="43"/>
      <c r="E61" s="44"/>
      <c r="F61" s="45"/>
      <c r="G61" s="46"/>
    </row>
    <row r="62" spans="1:7">
      <c r="A62" s="42" t="s">
        <v>34</v>
      </c>
      <c r="B62" s="43"/>
      <c r="C62" s="43"/>
      <c r="D62" s="43"/>
      <c r="E62" s="47"/>
      <c r="F62" s="48">
        <f>IF($D$34="ดอกเบี้ย",F80,0)</f>
        <v>0</v>
      </c>
      <c r="G62" s="49">
        <f>IF($D$34="ดอกเบี้ย",G80,0)</f>
        <v>0</v>
      </c>
    </row>
    <row r="63" spans="1:7">
      <c r="A63" s="42" t="s">
        <v>35</v>
      </c>
      <c r="B63" s="43"/>
      <c r="C63" s="43"/>
      <c r="D63" s="43"/>
      <c r="E63" s="44"/>
      <c r="F63" s="45"/>
      <c r="G63" s="46"/>
    </row>
    <row r="64" spans="1:7">
      <c r="A64" s="42" t="s">
        <v>36</v>
      </c>
      <c r="B64" s="43"/>
      <c r="C64" s="43"/>
      <c r="D64" s="43"/>
      <c r="E64" s="44"/>
      <c r="F64" s="45"/>
      <c r="G64" s="46"/>
    </row>
    <row r="65" spans="1:7">
      <c r="A65" s="42" t="s">
        <v>37</v>
      </c>
      <c r="B65" s="43"/>
      <c r="C65" s="43"/>
      <c r="D65" s="43"/>
      <c r="E65" s="44"/>
      <c r="F65" s="45"/>
      <c r="G65" s="46"/>
    </row>
    <row r="66" spans="1:7">
      <c r="A66" s="42"/>
      <c r="B66" s="43" t="s">
        <v>38</v>
      </c>
      <c r="C66" s="43"/>
      <c r="D66" s="43"/>
      <c r="E66" s="44"/>
      <c r="F66" s="45"/>
      <c r="G66" s="46" t="s">
        <v>39</v>
      </c>
    </row>
    <row r="67" spans="1:7">
      <c r="A67" s="42"/>
      <c r="B67" s="43" t="s">
        <v>40</v>
      </c>
      <c r="C67" s="43"/>
      <c r="D67" s="43"/>
      <c r="E67" s="44"/>
      <c r="F67" s="45"/>
      <c r="G67" s="46"/>
    </row>
    <row r="68" spans="1:7">
      <c r="A68" s="42"/>
      <c r="B68" s="43" t="s">
        <v>41</v>
      </c>
      <c r="C68" s="43"/>
      <c r="D68" s="43"/>
      <c r="E68" s="44"/>
      <c r="F68" s="45"/>
      <c r="G68" s="46"/>
    </row>
    <row r="69" spans="1:7">
      <c r="A69" s="42"/>
      <c r="B69" s="43" t="s">
        <v>67</v>
      </c>
      <c r="C69" s="43"/>
      <c r="D69" s="43"/>
      <c r="E69" s="44"/>
      <c r="F69" s="45"/>
      <c r="G69" s="46"/>
    </row>
    <row r="70" spans="1:7">
      <c r="A70" s="42" t="s">
        <v>43</v>
      </c>
      <c r="B70" s="43"/>
      <c r="C70" s="43"/>
      <c r="D70" s="43"/>
      <c r="E70" s="44"/>
      <c r="F70" s="45"/>
      <c r="G70" s="46"/>
    </row>
    <row r="71" spans="1:7">
      <c r="A71" s="42"/>
      <c r="B71" s="43" t="s">
        <v>44</v>
      </c>
      <c r="C71" s="43"/>
      <c r="D71" s="43"/>
      <c r="E71" s="44"/>
      <c r="F71" s="45"/>
      <c r="G71" s="46"/>
    </row>
    <row r="72" spans="1:7">
      <c r="A72" s="42"/>
      <c r="B72" s="43" t="s">
        <v>45</v>
      </c>
      <c r="C72" s="43"/>
      <c r="D72" s="43"/>
      <c r="E72" s="44"/>
      <c r="F72" s="45"/>
      <c r="G72" s="46"/>
    </row>
    <row r="73" spans="1:7">
      <c r="A73" s="42"/>
      <c r="B73" s="43" t="s">
        <v>46</v>
      </c>
      <c r="C73" s="43"/>
      <c r="D73" s="43"/>
      <c r="E73" s="44"/>
      <c r="F73" s="45"/>
      <c r="G73" s="46"/>
    </row>
    <row r="74" spans="1:7">
      <c r="A74" s="42"/>
      <c r="B74" s="43" t="s">
        <v>47</v>
      </c>
      <c r="C74" s="43"/>
      <c r="D74" s="43"/>
      <c r="E74" s="44"/>
      <c r="F74" s="45"/>
      <c r="G74" s="46"/>
    </row>
    <row r="75" spans="1:7">
      <c r="A75" s="42"/>
      <c r="B75" s="43" t="s">
        <v>48</v>
      </c>
      <c r="C75" s="43"/>
      <c r="D75" s="43"/>
      <c r="E75" s="44"/>
      <c r="F75" s="45"/>
      <c r="G75" s="46"/>
    </row>
    <row r="76" spans="1:7">
      <c r="A76" s="42"/>
      <c r="B76" s="43" t="s">
        <v>49</v>
      </c>
      <c r="C76" s="43"/>
      <c r="D76" s="43"/>
      <c r="E76" s="44"/>
      <c r="F76" s="45"/>
      <c r="G76" s="46"/>
    </row>
    <row r="77" spans="1:7">
      <c r="A77" s="42" t="s">
        <v>50</v>
      </c>
      <c r="B77" s="43"/>
      <c r="C77" s="43"/>
      <c r="D77" s="43"/>
      <c r="E77" s="44"/>
      <c r="F77" s="45"/>
      <c r="G77" s="46"/>
    </row>
    <row r="78" spans="1:7">
      <c r="A78" s="42" t="s">
        <v>51</v>
      </c>
      <c r="B78" s="43"/>
      <c r="C78" s="43"/>
      <c r="D78" s="43"/>
      <c r="E78" s="44"/>
      <c r="F78" s="45"/>
      <c r="G78" s="46"/>
    </row>
    <row r="79" spans="1:7">
      <c r="A79" s="42" t="s">
        <v>52</v>
      </c>
      <c r="B79" s="43"/>
      <c r="C79" s="43"/>
      <c r="D79" s="43"/>
      <c r="E79" s="71"/>
      <c r="F79" s="45"/>
      <c r="G79" s="46"/>
    </row>
    <row r="80" spans="1:7">
      <c r="A80" s="42" t="s">
        <v>53</v>
      </c>
      <c r="B80" s="43"/>
      <c r="C80" s="43"/>
      <c r="D80" s="50" t="str">
        <f>VLOOKUP($F$2,'Portfolio 2'!$B:$K,6,0)</f>
        <v>ค่าโฆษณา</v>
      </c>
      <c r="E80" s="51">
        <f>VLOOKUP($F$2,'Portfolio 2'!$B:$K,7,0)</f>
        <v>44126</v>
      </c>
      <c r="F80" s="72">
        <f ca="1">VLOOKUP($F$2,'Portfolio 2'!$B:$K,8,0)</f>
        <v>17241</v>
      </c>
      <c r="G80" s="53">
        <f ca="1">VLOOKUP($F$2,'Portfolio 2'!$B:$K,10,0)</f>
        <v>344.82</v>
      </c>
    </row>
    <row r="81" spans="1:7">
      <c r="A81" s="42" t="s">
        <v>54</v>
      </c>
      <c r="B81" s="43"/>
      <c r="C81" s="43"/>
      <c r="D81" s="50" t="str">
        <f>D35</f>
        <v/>
      </c>
      <c r="E81" s="51" t="str">
        <f>E35</f>
        <v/>
      </c>
      <c r="F81" s="72" t="str">
        <f>F35</f>
        <v/>
      </c>
      <c r="G81" s="53" t="str">
        <f>G35</f>
        <v/>
      </c>
    </row>
    <row r="82" spans="1:7">
      <c r="A82" s="57"/>
      <c r="B82" s="58"/>
      <c r="C82" s="58"/>
      <c r="D82" s="73"/>
      <c r="E82" s="74"/>
      <c r="F82" s="75"/>
      <c r="G82" s="59"/>
    </row>
    <row r="83" spans="1:7" ht="19.5" thickBot="1">
      <c r="A83" s="60"/>
      <c r="B83" s="11"/>
      <c r="C83" s="11"/>
      <c r="D83" s="61"/>
      <c r="E83" s="62" t="s">
        <v>55</v>
      </c>
      <c r="F83" s="63">
        <f ca="1">SUM(F80:F82)</f>
        <v>17241</v>
      </c>
      <c r="G83" s="64">
        <f ca="1">SUM(G80:G82)</f>
        <v>344.82</v>
      </c>
    </row>
    <row r="84" spans="1:7" ht="5.25" customHeight="1" thickTop="1">
      <c r="A84" s="15"/>
      <c r="G84" s="16"/>
    </row>
    <row r="85" spans="1:7">
      <c r="A85" s="17" t="s">
        <v>68</v>
      </c>
      <c r="B85" s="18"/>
      <c r="C85" s="18"/>
      <c r="D85" s="106" t="str">
        <f ca="1">BAHTTEXT(G83)</f>
        <v>สามร้อยสี่สิบสี่บาทแปดสิบสองสตางค์</v>
      </c>
      <c r="E85" s="106"/>
      <c r="F85" s="106"/>
      <c r="G85" s="107"/>
    </row>
    <row r="86" spans="1:7">
      <c r="A86" s="17" t="s">
        <v>57</v>
      </c>
      <c r="B86" s="18"/>
      <c r="C86" s="18"/>
      <c r="D86" s="18"/>
      <c r="E86" s="18"/>
      <c r="F86" s="18"/>
      <c r="G86" s="19"/>
    </row>
    <row r="87" spans="1:7">
      <c r="A87" s="66" t="s">
        <v>58</v>
      </c>
      <c r="B87" s="67"/>
      <c r="C87" s="67"/>
      <c r="D87" s="67"/>
      <c r="E87" s="67"/>
      <c r="F87" s="67"/>
      <c r="G87" s="68"/>
    </row>
    <row r="88" spans="1:7">
      <c r="A88" s="60" t="s">
        <v>59</v>
      </c>
      <c r="B88" s="108" t="s">
        <v>60</v>
      </c>
      <c r="C88" s="109"/>
      <c r="D88" s="114" t="s">
        <v>61</v>
      </c>
      <c r="E88" s="115"/>
      <c r="F88" s="115"/>
      <c r="G88" s="116"/>
    </row>
    <row r="89" spans="1:7">
      <c r="A89" s="15"/>
      <c r="B89" s="110"/>
      <c r="C89" s="111"/>
      <c r="D89" s="15"/>
      <c r="G89" s="16"/>
    </row>
    <row r="90" spans="1:7">
      <c r="A90" s="15"/>
      <c r="B90" s="110"/>
      <c r="C90" s="111"/>
      <c r="D90" s="23" t="str">
        <f>D44</f>
        <v>นาย ก ช</v>
      </c>
      <c r="E90" s="8" t="s">
        <v>62</v>
      </c>
      <c r="G90" s="16"/>
    </row>
    <row r="91" spans="1:7">
      <c r="A91" s="17"/>
      <c r="B91" s="112"/>
      <c r="C91" s="113"/>
      <c r="D91" s="69">
        <f>IF(D80&gt;0,E80,IF(D80&gt;0,E81))</f>
        <v>44126</v>
      </c>
      <c r="E91" s="18" t="s">
        <v>63</v>
      </c>
      <c r="F91" s="18"/>
      <c r="G91" s="19"/>
    </row>
    <row r="92" spans="1:7">
      <c r="A92" s="8" t="s">
        <v>64</v>
      </c>
      <c r="F92" s="70"/>
      <c r="G92" s="70"/>
    </row>
  </sheetData>
  <mergeCells count="10">
    <mergeCell ref="A57:D58"/>
    <mergeCell ref="D85:G85"/>
    <mergeCell ref="B88:C91"/>
    <mergeCell ref="D88:G88"/>
    <mergeCell ref="B9:B10"/>
    <mergeCell ref="A11:D12"/>
    <mergeCell ref="D39:G39"/>
    <mergeCell ref="B42:C45"/>
    <mergeCell ref="D42:G42"/>
    <mergeCell ref="B55:B56"/>
  </mergeCells>
  <pageMargins left="0.7" right="0.7" top="0.75" bottom="0.75" header="0.3" footer="0.3"/>
  <pageSetup paperSize="9" scale="84" fitToHeight="2" orientation="portrait" horizontalDpi="1200" verticalDpi="1200" r:id="rId1"/>
  <rowBreaks count="1" manualBreakCount="1">
    <brk id="46" max="6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5C3E4-4ADD-45DB-89BF-96E6DADCEFFC}">
  <sheetPr codeName="Sheet7"/>
  <dimension ref="A1:W203"/>
  <sheetViews>
    <sheetView workbookViewId="0">
      <selection activeCell="A132" sqref="A132"/>
    </sheetView>
    <sheetView workbookViewId="1">
      <selection activeCell="C2" sqref="C2"/>
    </sheetView>
  </sheetViews>
  <sheetFormatPr defaultRowHeight="15"/>
  <cols>
    <col min="1" max="1" width="6.85546875" bestFit="1" customWidth="1"/>
    <col min="2" max="2" width="15.140625" bestFit="1" customWidth="1"/>
    <col min="3" max="3" width="11.140625" bestFit="1" customWidth="1"/>
    <col min="4" max="4" width="10.42578125" bestFit="1" customWidth="1"/>
    <col min="5" max="5" width="41.5703125" bestFit="1" customWidth="1"/>
    <col min="6" max="6" width="7.7109375" bestFit="1" customWidth="1"/>
    <col min="7" max="7" width="10.7109375" bestFit="1" customWidth="1"/>
    <col min="8" max="8" width="6.85546875" bestFit="1" customWidth="1"/>
    <col min="9" max="9" width="7" bestFit="1" customWidth="1"/>
    <col min="10" max="10" width="5" bestFit="1" customWidth="1"/>
    <col min="11" max="11" width="21" bestFit="1" customWidth="1"/>
    <col min="12" max="12" width="5.5703125" bestFit="1" customWidth="1"/>
    <col min="13" max="13" width="18.7109375" bestFit="1" customWidth="1"/>
    <col min="14" max="14" width="13.5703125" bestFit="1" customWidth="1"/>
    <col min="15" max="16" width="16.140625" bestFit="1" customWidth="1"/>
    <col min="17" max="17" width="13.42578125" bestFit="1" customWidth="1"/>
    <col min="18" max="18" width="12" bestFit="1" customWidth="1"/>
    <col min="19" max="19" width="12.28515625" bestFit="1" customWidth="1"/>
    <col min="20" max="20" width="9.85546875" bestFit="1" customWidth="1"/>
    <col min="21" max="21" width="11.7109375" bestFit="1" customWidth="1"/>
    <col min="22" max="22" width="9.5703125" bestFit="1" customWidth="1"/>
    <col min="23" max="23" width="3.85546875" bestFit="1" customWidth="1"/>
  </cols>
  <sheetData>
    <row r="1" spans="1:23" ht="21">
      <c r="A1" s="120" t="s">
        <v>281</v>
      </c>
    </row>
    <row r="2" spans="1:23" ht="26.25" customHeight="1">
      <c r="A2" s="97">
        <v>3</v>
      </c>
      <c r="C2" s="99" t="s">
        <v>162</v>
      </c>
    </row>
    <row r="3" spans="1:23">
      <c r="A3" s="90" t="s">
        <v>151</v>
      </c>
      <c r="B3" s="90" t="s">
        <v>4</v>
      </c>
      <c r="C3" s="90" t="s">
        <v>142</v>
      </c>
      <c r="D3" s="90" t="s">
        <v>124</v>
      </c>
      <c r="E3" s="90" t="s">
        <v>141</v>
      </c>
      <c r="F3" s="90" t="s">
        <v>125</v>
      </c>
      <c r="G3" s="90" t="s">
        <v>144</v>
      </c>
      <c r="H3" s="90" t="s">
        <v>145</v>
      </c>
      <c r="I3" s="90" t="s">
        <v>127</v>
      </c>
      <c r="J3" s="90" t="s">
        <v>128</v>
      </c>
      <c r="K3" s="90" t="s">
        <v>129</v>
      </c>
      <c r="L3" s="90" t="s">
        <v>132</v>
      </c>
      <c r="M3" s="90" t="s">
        <v>130</v>
      </c>
      <c r="N3" s="90" t="s">
        <v>152</v>
      </c>
      <c r="O3" s="90" t="s">
        <v>153</v>
      </c>
      <c r="P3" s="90" t="s">
        <v>134</v>
      </c>
      <c r="Q3" s="90" t="s">
        <v>135</v>
      </c>
      <c r="R3" s="90" t="s">
        <v>136</v>
      </c>
      <c r="S3" s="90" t="s">
        <v>143</v>
      </c>
      <c r="T3" s="90" t="s">
        <v>137</v>
      </c>
      <c r="U3" s="90" t="s">
        <v>138</v>
      </c>
      <c r="V3" s="90" t="s">
        <v>139</v>
      </c>
      <c r="W3" s="90" t="s">
        <v>140</v>
      </c>
    </row>
    <row r="4" spans="1:23">
      <c r="A4" s="92">
        <f>IF(B4="","",1)</f>
        <v>1</v>
      </c>
      <c r="B4" s="82" t="str" cm="1">
        <f t="array" ref="B4">IFERROR(INDEX('Portfolio 3_2'!$O$3:$AK$101,'Portfolio 3_2'!$AP3,2),"")</f>
        <v>02317XXX34284</v>
      </c>
      <c r="C4" s="82" t="str" cm="1">
        <f t="array" ref="C4">IFERROR(SUBSTITUTE(INDEX('Portfolio 3_2'!$O$3:$AK$101,'Portfolio 3_2'!$AP3,23),"น.ส.","นางสาว"),"")</f>
        <v>นาย</v>
      </c>
      <c r="D4" s="82" t="str" cm="1">
        <f t="array" ref="D4">IFERROR(INDEX('Portfolio 3_2'!$O$3:$AK$101,'Portfolio 3_2'!$AP3,21),"")</f>
        <v>อยากจะรวย</v>
      </c>
      <c r="E4" s="82" t="str" cm="1">
        <f t="array" ref="E4">IFERROR(INDEX('Portfolio 3_2'!$O$3:$AK$101,'Portfolio 3_2'!$AP3,22),"")</f>
        <v>อาคมแรงสี่สิบสาม</v>
      </c>
      <c r="F4" s="82" t="str" cm="1">
        <f t="array" ref="F4">IFERROR(SUBSTITUTE(INDEX('Portfolio 3_2'!$O$3:$AK$101,'Portfolio 3_2'!$AP3,4),"+"," "),"")</f>
        <v/>
      </c>
      <c r="G4" s="82" t="str" cm="1">
        <f t="array" ref="G4">IFERROR(SUBSTITUTE(INDEX('Portfolio 3_2'!$O$3:$AK$101,'Portfolio 3_2'!$AP3,5),"+"," "),"")</f>
        <v/>
      </c>
      <c r="H4" s="82" t="str" cm="1">
        <f t="array" ref="H4">IFERROR(SUBSTITUTE(INDEX('Portfolio 3_2'!$O$3:$AK$101,'Portfolio 3_2'!$AP3,6),"+"," "),"")</f>
        <v/>
      </c>
      <c r="I4" s="82" t="str" cm="1">
        <f t="array" ref="I4">IFERROR(INDEX('Portfolio 3_2'!$O$3:$AK$101,'Portfolio 3_2'!$AP3,7),"")</f>
        <v>504</v>
      </c>
      <c r="J4" s="82" t="str" cm="1">
        <f t="array" ref="J4">IFERROR(INDEX('Portfolio 3_2'!$O$3:$AK$101,'Portfolio 3_2'!$AP3,8),"")</f>
        <v>9</v>
      </c>
      <c r="K4" s="82" t="str" cm="1">
        <f t="array" ref="K4">IFERROR(SUBSTITUTE(INDEX('Portfolio 3_2'!$O$3:$AK$101,'Portfolio 3_2'!$AP3,9),"+"," "),"")</f>
        <v/>
      </c>
      <c r="L4" s="82" t="str" cm="1">
        <f t="array" ref="L4">IFERROR(SUBSTITUTE(INDEX('Portfolio 3_2'!$O$3:$AK$101,'Portfolio 3_2'!$AP3,12),"+"," "),"")</f>
        <v/>
      </c>
      <c r="M4" s="82" t="str" cm="1">
        <f t="array" ref="M4">IFERROR(SUBSTITUTE(INDEX('Portfolio 3_2'!$O$3:$AK$101,'Portfolio 3_2'!$AP3,10),"+"," "),"")</f>
        <v/>
      </c>
      <c r="N4" s="82" t="str" cm="1">
        <f t="array" ref="N4">IFERROR(SUBSTITUTE(INDEX('Portfolio 3_2'!$O$3:$AK$101,'Portfolio 3_2'!$AP3,11),"+"," "),"")</f>
        <v>ในเมือง</v>
      </c>
      <c r="O4" s="82" t="str" cm="1">
        <f t="array" ref="O4">IFERROR(SUBSTITUTE(INDEX('Portfolio 3_2'!$O$3:$AK$101,'Portfolio 3_2'!$AP3,13),"+"," "),"")</f>
        <v>สวรรคโลก</v>
      </c>
      <c r="P4" s="82" t="str" cm="1">
        <f t="array" ref="P4">IFERROR(IF(ISNUMBER(FIND("กรุงเทพ",INDEX('Portfolio 3_2'!$O$3:$AK$101,'Portfolio 3_2'!$AP3,14))),"กรุงเทพมหานคร",INDEX('Portfolio 3_2'!$O$3:$AK$101,'Portfolio 3_2'!$AP3,14)),"")</f>
        <v>สุโขทัย</v>
      </c>
      <c r="Q4" s="82" t="str" cm="1">
        <f t="array" ref="Q4">IFERROR(INDEX('Portfolio 3_2'!$O$3:$AK$101,'Portfolio 3_2'!$AP3,15),"")</f>
        <v>12345</v>
      </c>
      <c r="R4" s="82" t="str" cm="1">
        <f t="array" ref="R4">IFERROR(TEXT(INDEX('Portfolio 3_2'!$O$3:$AK$101,'Portfolio 3_2'!$AP3,16),"dd/mm/yyyy"),"")</f>
        <v>31/08/2563</v>
      </c>
      <c r="S4" s="82" t="str" cm="1">
        <f t="array" ref="S4">IFERROR(INDEX('Portfolio 3_2'!$O$3:$AK$101,'Portfolio 3_2'!$AP3,20),"")</f>
        <v>ค่าบริการ</v>
      </c>
      <c r="T4" s="82" cm="1">
        <f t="array" ref="T4">IFERROR(INDEX('Portfolio 3_2'!$O$3:$AK$101,'Portfolio 3_2'!$AP3,17),"")</f>
        <v>3</v>
      </c>
      <c r="U4" s="83" cm="1">
        <f t="array" ref="U4">IFERROR(INDEX('Portfolio 3_2'!$O$3:$AK$101,'Portfolio 3_2'!$AP3,18),"")</f>
        <v>24217</v>
      </c>
      <c r="V4" s="83" cm="1">
        <f t="array" ref="V4">IFERROR(INDEX('Portfolio 3_2'!$O$3:$AK$101,'Portfolio 3_2'!$AP3,19),"")</f>
        <v>726.51</v>
      </c>
      <c r="W4" s="1" t="str">
        <f t="shared" ref="W4:W35" si="0">IFERROR(IF(A4&lt;&gt;"","1",""),"")</f>
        <v>1</v>
      </c>
    </row>
    <row r="5" spans="1:23">
      <c r="A5" s="92">
        <f t="shared" ref="A5:A36" si="1">IF(B5="","",A4+1)</f>
        <v>2</v>
      </c>
      <c r="B5" s="82" t="str" cm="1">
        <f t="array" ref="B5">IFERROR(INDEX('Portfolio 3_2'!$O$3:$AK$101,'Portfolio 3_2'!$AP4,2),"")</f>
        <v>02823XXX27342</v>
      </c>
      <c r="C5" s="82" t="str" cm="1">
        <f t="array" ref="C5">IFERROR(SUBSTITUTE(INDEX('Portfolio 3_2'!$O$3:$AK$101,'Portfolio 3_2'!$AP4,23),"น.ส.","นางสาว"),"")</f>
        <v>นาย</v>
      </c>
      <c r="D5" s="82" t="str" cm="1">
        <f t="array" ref="D5">IFERROR(INDEX('Portfolio 3_2'!$O$3:$AK$101,'Portfolio 3_2'!$AP4,21),"")</f>
        <v>อยากจะรวย</v>
      </c>
      <c r="E5" s="82" t="str" cm="1">
        <f t="array" ref="E5">IFERROR(INDEX('Portfolio 3_2'!$O$3:$AK$101,'Portfolio 3_2'!$AP4,22),"")</f>
        <v>อาคมแรงเก้าสิบห้า</v>
      </c>
      <c r="F5" s="82" t="str" cm="1">
        <f t="array" ref="F5">IFERROR(SUBSTITUTE(INDEX('Portfolio 3_2'!$O$3:$AK$101,'Portfolio 3_2'!$AP4,4),"+"," "),"")</f>
        <v/>
      </c>
      <c r="G5" s="82" t="str" cm="1">
        <f t="array" ref="G5">IFERROR(SUBSTITUTE(INDEX('Portfolio 3_2'!$O$3:$AK$101,'Portfolio 3_2'!$AP4,5),"+"," "),"")</f>
        <v/>
      </c>
      <c r="H5" s="82" t="str" cm="1">
        <f t="array" ref="H5">IFERROR(SUBSTITUTE(INDEX('Portfolio 3_2'!$O$3:$AK$101,'Portfolio 3_2'!$AP4,6),"+"," "),"")</f>
        <v/>
      </c>
      <c r="I5" s="82" t="str" cm="1">
        <f t="array" ref="I5">IFERROR(INDEX('Portfolio 3_2'!$O$3:$AK$101,'Portfolio 3_2'!$AP4,7),"")</f>
        <v>556</v>
      </c>
      <c r="J5" s="82" t="str" cm="1">
        <f t="array" ref="J5">IFERROR(INDEX('Portfolio 3_2'!$O$3:$AK$101,'Portfolio 3_2'!$AP4,8),"")</f>
        <v>5</v>
      </c>
      <c r="K5" s="82" t="str" cm="1">
        <f t="array" ref="K5">IFERROR(SUBSTITUTE(INDEX('Portfolio 3_2'!$O$3:$AK$101,'Portfolio 3_2'!$AP4,9),"+"," "),"")</f>
        <v/>
      </c>
      <c r="L5" s="82" t="str" cm="1">
        <f t="array" ref="L5">IFERROR(SUBSTITUTE(INDEX('Portfolio 3_2'!$O$3:$AK$101,'Portfolio 3_2'!$AP4,12),"+"," "),"")</f>
        <v/>
      </c>
      <c r="M5" s="82" t="str" cm="1">
        <f t="array" ref="M5">IFERROR(SUBSTITUTE(INDEX('Portfolio 3_2'!$O$3:$AK$101,'Portfolio 3_2'!$AP4,10),"+"," "),"")</f>
        <v/>
      </c>
      <c r="N5" s="82" t="str" cm="1">
        <f t="array" ref="N5">IFERROR(SUBSTITUTE(INDEX('Portfolio 3_2'!$O$3:$AK$101,'Portfolio 3_2'!$AP4,11),"+"," "),"")</f>
        <v>หนองฉาง</v>
      </c>
      <c r="O5" s="82" t="str" cm="1">
        <f t="array" ref="O5">IFERROR(SUBSTITUTE(INDEX('Portfolio 3_2'!$O$3:$AK$101,'Portfolio 3_2'!$AP4,13),"+"," "),"")</f>
        <v>หนองฉาง</v>
      </c>
      <c r="P5" s="82" t="str" cm="1">
        <f t="array" ref="P5">IFERROR(IF(ISNUMBER(FIND("กรุงเทพ",INDEX('Portfolio 3_2'!$O$3:$AK$101,'Portfolio 3_2'!$AP4,14))),"กรุงเทพมหานคร",INDEX('Portfolio 3_2'!$O$3:$AK$101,'Portfolio 3_2'!$AP4,14)),"")</f>
        <v>อุทัยธานี</v>
      </c>
      <c r="Q5" s="82" t="str" cm="1">
        <f t="array" ref="Q5">IFERROR(INDEX('Portfolio 3_2'!$O$3:$AK$101,'Portfolio 3_2'!$AP4,15),"")</f>
        <v>12345</v>
      </c>
      <c r="R5" s="82" t="str" cm="1">
        <f t="array" ref="R5">IFERROR(TEXT(INDEX('Portfolio 3_2'!$O$3:$AK$101,'Portfolio 3_2'!$AP4,16),"dd/mm/yyyy"),"")</f>
        <v>18/10/2562</v>
      </c>
      <c r="S5" s="82" t="str" cm="1">
        <f t="array" ref="S5">IFERROR(INDEX('Portfolio 3_2'!$O$3:$AK$101,'Portfolio 3_2'!$AP4,20),"")</f>
        <v>ค่าบริการ</v>
      </c>
      <c r="T5" s="82" cm="1">
        <f t="array" ref="T5">IFERROR(INDEX('Portfolio 3_2'!$O$3:$AK$101,'Portfolio 3_2'!$AP4,17),"")</f>
        <v>3</v>
      </c>
      <c r="U5" s="83" cm="1">
        <f t="array" ref="U5">IFERROR(INDEX('Portfolio 3_2'!$O$3:$AK$101,'Portfolio 3_2'!$AP4,18),"")</f>
        <v>13840</v>
      </c>
      <c r="V5" s="83" cm="1">
        <f t="array" ref="V5">IFERROR(INDEX('Portfolio 3_2'!$O$3:$AK$101,'Portfolio 3_2'!$AP4,19),"")</f>
        <v>415.2</v>
      </c>
      <c r="W5" s="1" t="str">
        <f t="shared" si="0"/>
        <v>1</v>
      </c>
    </row>
    <row r="6" spans="1:23">
      <c r="A6" s="92">
        <f t="shared" si="1"/>
        <v>3</v>
      </c>
      <c r="B6" s="82" t="str" cm="1">
        <f t="array" ref="B6">IFERROR(INDEX('Portfolio 3_2'!$O$3:$AK$101,'Portfolio 3_2'!$AP5,2),"")</f>
        <v>04948XXX26999</v>
      </c>
      <c r="C6" s="82" t="str" cm="1">
        <f t="array" ref="C6">IFERROR(SUBSTITUTE(INDEX('Portfolio 3_2'!$O$3:$AK$101,'Portfolio 3_2'!$AP5,23),"น.ส.","นางสาว"),"")</f>
        <v>บริษัท</v>
      </c>
      <c r="D6" s="82" t="str" cm="1">
        <f t="array" ref="D6">IFERROR(INDEX('Portfolio 3_2'!$O$3:$AK$101,'Portfolio 3_2'!$AP5,21),"")</f>
        <v>ซื้อแล้วรวย</v>
      </c>
      <c r="E6" s="82" t="str" cm="1">
        <f t="array" ref="E6">IFERROR(INDEX('Portfolio 3_2'!$O$3:$AK$101,'Portfolio 3_2'!$AP5,22),"")</f>
        <v>56 จำกัด</v>
      </c>
      <c r="F6" s="82" t="str" cm="1">
        <f t="array" ref="F6">IFERROR(SUBSTITUTE(INDEX('Portfolio 3_2'!$O$3:$AK$101,'Portfolio 3_2'!$AP5,4),"+"," "),"")</f>
        <v/>
      </c>
      <c r="G6" s="82" t="str" cm="1">
        <f t="array" ref="G6">IFERROR(SUBSTITUTE(INDEX('Portfolio 3_2'!$O$3:$AK$101,'Portfolio 3_2'!$AP5,5),"+"," "),"")</f>
        <v/>
      </c>
      <c r="H6" s="82" t="str" cm="1">
        <f t="array" ref="H6">IFERROR(SUBSTITUTE(INDEX('Portfolio 3_2'!$O$3:$AK$101,'Portfolio 3_2'!$AP5,6),"+"," "),"")</f>
        <v/>
      </c>
      <c r="I6" s="82" t="str" cm="1">
        <f t="array" ref="I6">IFERROR(INDEX('Portfolio 3_2'!$O$3:$AK$101,'Portfolio 3_2'!$AP5,7),"")</f>
        <v>53/5</v>
      </c>
      <c r="J6" s="82" t="str" cm="1">
        <f t="array" ref="J6">IFERROR(INDEX('Portfolio 3_2'!$O$3:$AK$101,'Portfolio 3_2'!$AP5,8),"")</f>
        <v>5</v>
      </c>
      <c r="K6" s="82" t="str" cm="1">
        <f t="array" ref="K6">IFERROR(SUBSTITUTE(INDEX('Portfolio 3_2'!$O$3:$AK$101,'Portfolio 3_2'!$AP5,9),"+"," "),"")</f>
        <v/>
      </c>
      <c r="L6" s="82" t="str" cm="1">
        <f t="array" ref="L6">IFERROR(SUBSTITUTE(INDEX('Portfolio 3_2'!$O$3:$AK$101,'Portfolio 3_2'!$AP5,12),"+"," "),"")</f>
        <v/>
      </c>
      <c r="M6" s="82" t="str" cm="1">
        <f t="array" ref="M6">IFERROR(SUBSTITUTE(INDEX('Portfolio 3_2'!$O$3:$AK$101,'Portfolio 3_2'!$AP5,10),"+"," "),"")</f>
        <v/>
      </c>
      <c r="N6" s="82" t="str" cm="1">
        <f t="array" ref="N6">IFERROR(SUBSTITUTE(INDEX('Portfolio 3_2'!$O$3:$AK$101,'Portfolio 3_2'!$AP5,11),"+"," "),"")</f>
        <v>ห้วยข้าวก่ำ</v>
      </c>
      <c r="O6" s="82" t="str" cm="1">
        <f t="array" ref="O6">IFERROR(SUBSTITUTE(INDEX('Portfolio 3_2'!$O$3:$AK$101,'Portfolio 3_2'!$AP5,13),"+"," "),"")</f>
        <v>จุน</v>
      </c>
      <c r="P6" s="82" t="str" cm="1">
        <f t="array" ref="P6">IFERROR(IF(ISNUMBER(FIND("กรุงเทพ",INDEX('Portfolio 3_2'!$O$3:$AK$101,'Portfolio 3_2'!$AP5,14))),"กรุงเทพมหานคร",INDEX('Portfolio 3_2'!$O$3:$AK$101,'Portfolio 3_2'!$AP5,14)),"")</f>
        <v>พะเยา</v>
      </c>
      <c r="Q6" s="82" t="str" cm="1">
        <f t="array" ref="Q6">IFERROR(INDEX('Portfolio 3_2'!$O$3:$AK$101,'Portfolio 3_2'!$AP5,15),"")</f>
        <v>12345</v>
      </c>
      <c r="R6" s="82" t="str" cm="1">
        <f t="array" ref="R6">IFERROR(TEXT(INDEX('Portfolio 3_2'!$O$3:$AK$101,'Portfolio 3_2'!$AP5,16),"dd/mm/yyyy"),"")</f>
        <v>04/06/2563</v>
      </c>
      <c r="S6" s="82" t="str" cm="1">
        <f t="array" ref="S6">IFERROR(INDEX('Portfolio 3_2'!$O$3:$AK$101,'Portfolio 3_2'!$AP5,20),"")</f>
        <v>ค่าบริการ</v>
      </c>
      <c r="T6" s="82" cm="1">
        <f t="array" ref="T6">IFERROR(INDEX('Portfolio 3_2'!$O$3:$AK$101,'Portfolio 3_2'!$AP5,17),"")</f>
        <v>3</v>
      </c>
      <c r="U6" s="83" cm="1">
        <f t="array" ref="U6">IFERROR(INDEX('Portfolio 3_2'!$O$3:$AK$101,'Portfolio 3_2'!$AP5,18),"")</f>
        <v>25565</v>
      </c>
      <c r="V6" s="83" cm="1">
        <f t="array" ref="V6">IFERROR(INDEX('Portfolio 3_2'!$O$3:$AK$101,'Portfolio 3_2'!$AP5,19),"")</f>
        <v>766.94999999999993</v>
      </c>
      <c r="W6" s="1" t="str">
        <f t="shared" si="0"/>
        <v>1</v>
      </c>
    </row>
    <row r="7" spans="1:23">
      <c r="A7" s="92">
        <f t="shared" si="1"/>
        <v>4</v>
      </c>
      <c r="B7" s="82" t="str" cm="1">
        <f t="array" ref="B7">IFERROR(INDEX('Portfolio 3_2'!$O$3:$AK$101,'Portfolio 3_2'!$AP6,2),"")</f>
        <v>00440XXX91709</v>
      </c>
      <c r="C7" s="82" t="str" cm="1">
        <f t="array" ref="C7">IFERROR(SUBSTITUTE(INDEX('Portfolio 3_2'!$O$3:$AK$101,'Portfolio 3_2'!$AP6,23),"น.ส.","นางสาว"),"")</f>
        <v>นาย</v>
      </c>
      <c r="D7" s="82" t="str" cm="1">
        <f t="array" ref="D7">IFERROR(INDEX('Portfolio 3_2'!$O$3:$AK$101,'Portfolio 3_2'!$AP6,21),"")</f>
        <v>อยากจะรวย</v>
      </c>
      <c r="E7" s="82" t="str" cm="1">
        <f t="array" ref="E7">IFERROR(INDEX('Portfolio 3_2'!$O$3:$AK$101,'Portfolio 3_2'!$AP6,22),"")</f>
        <v>อาคมแรงแปดสิบสาม</v>
      </c>
      <c r="F7" s="82" t="str" cm="1">
        <f t="array" ref="F7">IFERROR(SUBSTITUTE(INDEX('Portfolio 3_2'!$O$3:$AK$101,'Portfolio 3_2'!$AP6,4),"+"," "),"")</f>
        <v/>
      </c>
      <c r="G7" s="82" t="str" cm="1">
        <f t="array" ref="G7">IFERROR(SUBSTITUTE(INDEX('Portfolio 3_2'!$O$3:$AK$101,'Portfolio 3_2'!$AP6,5),"+"," "),"")</f>
        <v/>
      </c>
      <c r="H7" s="82" t="str" cm="1">
        <f t="array" ref="H7">IFERROR(SUBSTITUTE(INDEX('Portfolio 3_2'!$O$3:$AK$101,'Portfolio 3_2'!$AP6,6),"+"," "),"")</f>
        <v/>
      </c>
      <c r="I7" s="82" t="str" cm="1">
        <f t="array" ref="I7">IFERROR(INDEX('Portfolio 3_2'!$O$3:$AK$101,'Portfolio 3_2'!$AP6,7),"")</f>
        <v>558/9</v>
      </c>
      <c r="J7" s="82" t="str" cm="1">
        <f t="array" ref="J7">IFERROR(INDEX('Portfolio 3_2'!$O$3:$AK$101,'Portfolio 3_2'!$AP6,8),"")</f>
        <v>5</v>
      </c>
      <c r="K7" s="82" t="str" cm="1">
        <f t="array" ref="K7">IFERROR(SUBSTITUTE(INDEX('Portfolio 3_2'!$O$3:$AK$101,'Portfolio 3_2'!$AP6,9),"+"," "),"")</f>
        <v/>
      </c>
      <c r="L7" s="82" t="str" cm="1">
        <f t="array" ref="L7">IFERROR(SUBSTITUTE(INDEX('Portfolio 3_2'!$O$3:$AK$101,'Portfolio 3_2'!$AP6,12),"+"," "),"")</f>
        <v/>
      </c>
      <c r="M7" s="82" t="str" cm="1">
        <f t="array" ref="M7">IFERROR(SUBSTITUTE(INDEX('Portfolio 3_2'!$O$3:$AK$101,'Portfolio 3_2'!$AP6,10),"+"," "),"")</f>
        <v/>
      </c>
      <c r="N7" s="82" t="str" cm="1">
        <f t="array" ref="N7">IFERROR(SUBSTITUTE(INDEX('Portfolio 3_2'!$O$3:$AK$101,'Portfolio 3_2'!$AP6,11),"+"," "),"")</f>
        <v>นครสวรรค์ออก</v>
      </c>
      <c r="O7" s="82" t="str" cm="1">
        <f t="array" ref="O7">IFERROR(SUBSTITUTE(INDEX('Portfolio 3_2'!$O$3:$AK$101,'Portfolio 3_2'!$AP6,13),"+"," "),"")</f>
        <v>เมือง</v>
      </c>
      <c r="P7" s="82" t="str" cm="1">
        <f t="array" ref="P7">IFERROR(IF(ISNUMBER(FIND("กรุงเทพ",INDEX('Portfolio 3_2'!$O$3:$AK$101,'Portfolio 3_2'!$AP6,14))),"กรุงเทพมหานคร",INDEX('Portfolio 3_2'!$O$3:$AK$101,'Portfolio 3_2'!$AP6,14)),"")</f>
        <v>นครสวรรค์</v>
      </c>
      <c r="Q7" s="82" t="str" cm="1">
        <f t="array" ref="Q7">IFERROR(INDEX('Portfolio 3_2'!$O$3:$AK$101,'Portfolio 3_2'!$AP6,15),"")</f>
        <v>12345</v>
      </c>
      <c r="R7" s="82" t="str" cm="1">
        <f t="array" ref="R7">IFERROR(TEXT(INDEX('Portfolio 3_2'!$O$3:$AK$101,'Portfolio 3_2'!$AP6,16),"dd/mm/yyyy"),"")</f>
        <v>10/08/2564</v>
      </c>
      <c r="S7" s="82" t="str" cm="1">
        <f t="array" ref="S7">IFERROR(INDEX('Portfolio 3_2'!$O$3:$AK$101,'Portfolio 3_2'!$AP6,20),"")</f>
        <v>ค่าบริการ</v>
      </c>
      <c r="T7" s="82" cm="1">
        <f t="array" ref="T7">IFERROR(INDEX('Portfolio 3_2'!$O$3:$AK$101,'Portfolio 3_2'!$AP6,17),"")</f>
        <v>3</v>
      </c>
      <c r="U7" s="83" cm="1">
        <f t="array" ref="U7">IFERROR(INDEX('Portfolio 3_2'!$O$3:$AK$101,'Portfolio 3_2'!$AP6,18),"")</f>
        <v>13131</v>
      </c>
      <c r="V7" s="83" cm="1">
        <f t="array" ref="V7">IFERROR(INDEX('Portfolio 3_2'!$O$3:$AK$101,'Portfolio 3_2'!$AP6,19),"")</f>
        <v>393.93</v>
      </c>
      <c r="W7" s="1" t="str">
        <f t="shared" si="0"/>
        <v>1</v>
      </c>
    </row>
    <row r="8" spans="1:23">
      <c r="A8" s="92">
        <f t="shared" si="1"/>
        <v>5</v>
      </c>
      <c r="B8" s="82" t="str" cm="1">
        <f t="array" ref="B8">IFERROR(INDEX('Portfolio 3_2'!$O$3:$AK$101,'Portfolio 3_2'!$AP7,2),"")</f>
        <v>03330XXX65931</v>
      </c>
      <c r="C8" s="82" t="str" cm="1">
        <f t="array" ref="C8">IFERROR(SUBSTITUTE(INDEX('Portfolio 3_2'!$O$3:$AK$101,'Portfolio 3_2'!$AP7,23),"น.ส.","นางสาว"),"")</f>
        <v>บริษัท</v>
      </c>
      <c r="D8" s="82" t="str" cm="1">
        <f t="array" ref="D8">IFERROR(INDEX('Portfolio 3_2'!$O$3:$AK$101,'Portfolio 3_2'!$AP7,21),"")</f>
        <v>พิ่งเปิด</v>
      </c>
      <c r="E8" s="82" t="str" cm="1">
        <f t="array" ref="E8">IFERROR(INDEX('Portfolio 3_2'!$O$3:$AK$101,'Portfolio 3_2'!$AP7,22),"")</f>
        <v>94 จำกัด</v>
      </c>
      <c r="F8" s="82" t="str" cm="1">
        <f t="array" ref="F8">IFERROR(SUBSTITUTE(INDEX('Portfolio 3_2'!$O$3:$AK$101,'Portfolio 3_2'!$AP7,4),"+"," "),"")</f>
        <v/>
      </c>
      <c r="G8" s="82" t="str" cm="1">
        <f t="array" ref="G8">IFERROR(SUBSTITUTE(INDEX('Portfolio 3_2'!$O$3:$AK$101,'Portfolio 3_2'!$AP7,5),"+"," "),"")</f>
        <v/>
      </c>
      <c r="H8" s="82" t="str" cm="1">
        <f t="array" ref="H8">IFERROR(SUBSTITUTE(INDEX('Portfolio 3_2'!$O$3:$AK$101,'Portfolio 3_2'!$AP7,6),"+"," "),"")</f>
        <v/>
      </c>
      <c r="I8" s="82" t="str" cm="1">
        <f t="array" ref="I8">IFERROR(INDEX('Portfolio 3_2'!$O$3:$AK$101,'Portfolio 3_2'!$AP7,7),"")</f>
        <v>570</v>
      </c>
      <c r="J8" s="82" t="str" cm="1">
        <f t="array" ref="J8">IFERROR(INDEX('Portfolio 3_2'!$O$3:$AK$101,'Portfolio 3_2'!$AP7,8),"")</f>
        <v>2</v>
      </c>
      <c r="K8" s="82" t="str" cm="1">
        <f t="array" ref="K8">IFERROR(SUBSTITUTE(INDEX('Portfolio 3_2'!$O$3:$AK$101,'Portfolio 3_2'!$AP7,9),"+"," "),"")</f>
        <v/>
      </c>
      <c r="L8" s="82" t="str" cm="1">
        <f t="array" ref="L8">IFERROR(SUBSTITUTE(INDEX('Portfolio 3_2'!$O$3:$AK$101,'Portfolio 3_2'!$AP7,12),"+"," "),"")</f>
        <v/>
      </c>
      <c r="M8" s="82" t="str" cm="1">
        <f t="array" ref="M8">IFERROR(SUBSTITUTE(INDEX('Portfolio 3_2'!$O$3:$AK$101,'Portfolio 3_2'!$AP7,10),"+"," "),"")</f>
        <v/>
      </c>
      <c r="N8" s="82" t="str" cm="1">
        <f t="array" ref="N8">IFERROR(SUBSTITUTE(INDEX('Portfolio 3_2'!$O$3:$AK$101,'Portfolio 3_2'!$AP7,11),"+"," "),"")</f>
        <v>สันมหาพน</v>
      </c>
      <c r="O8" s="82" t="str" cm="1">
        <f t="array" ref="O8">IFERROR(SUBSTITUTE(INDEX('Portfolio 3_2'!$O$3:$AK$101,'Portfolio 3_2'!$AP7,13),"+"," "),"")</f>
        <v>แม่แตง</v>
      </c>
      <c r="P8" s="82" t="str" cm="1">
        <f t="array" ref="P8">IFERROR(IF(ISNUMBER(FIND("กรุงเทพ",INDEX('Portfolio 3_2'!$O$3:$AK$101,'Portfolio 3_2'!$AP7,14))),"กรุงเทพมหานคร",INDEX('Portfolio 3_2'!$O$3:$AK$101,'Portfolio 3_2'!$AP7,14)),"")</f>
        <v>เชียงใหม่</v>
      </c>
      <c r="Q8" s="82" t="str" cm="1">
        <f t="array" ref="Q8">IFERROR(INDEX('Portfolio 3_2'!$O$3:$AK$101,'Portfolio 3_2'!$AP7,15),"")</f>
        <v>12345</v>
      </c>
      <c r="R8" s="82" t="str" cm="1">
        <f t="array" ref="R8">IFERROR(TEXT(INDEX('Portfolio 3_2'!$O$3:$AK$101,'Portfolio 3_2'!$AP7,16),"dd/mm/yyyy"),"")</f>
        <v>30/04/2562</v>
      </c>
      <c r="S8" s="82" t="str" cm="1">
        <f t="array" ref="S8">IFERROR(INDEX('Portfolio 3_2'!$O$3:$AK$101,'Portfolio 3_2'!$AP7,20),"")</f>
        <v>ค่าบริการ</v>
      </c>
      <c r="T8" s="82" cm="1">
        <f t="array" ref="T8">IFERROR(INDEX('Portfolio 3_2'!$O$3:$AK$101,'Portfolio 3_2'!$AP7,17),"")</f>
        <v>3</v>
      </c>
      <c r="U8" s="83" cm="1">
        <f t="array" ref="U8">IFERROR(INDEX('Portfolio 3_2'!$O$3:$AK$101,'Portfolio 3_2'!$AP7,18),"")</f>
        <v>20630</v>
      </c>
      <c r="V8" s="83" cm="1">
        <f t="array" ref="V8">IFERROR(INDEX('Portfolio 3_2'!$O$3:$AK$101,'Portfolio 3_2'!$AP7,19),"")</f>
        <v>618.9</v>
      </c>
      <c r="W8" s="1" t="str">
        <f t="shared" si="0"/>
        <v>1</v>
      </c>
    </row>
    <row r="9" spans="1:23">
      <c r="A9" s="92">
        <f t="shared" si="1"/>
        <v>6</v>
      </c>
      <c r="B9" s="82" t="str" cm="1">
        <f t="array" ref="B9">IFERROR(INDEX('Portfolio 3_2'!$O$3:$AK$101,'Portfolio 3_2'!$AP8,2),"")</f>
        <v>00576XXX49365</v>
      </c>
      <c r="C9" s="82" t="str" cm="1">
        <f t="array" ref="C9">IFERROR(SUBSTITUTE(INDEX('Portfolio 3_2'!$O$3:$AK$101,'Portfolio 3_2'!$AP8,23),"น.ส.","นางสาว"),"")</f>
        <v>นาง</v>
      </c>
      <c r="D9" s="82" t="str" cm="1">
        <f t="array" ref="D9">IFERROR(INDEX('Portfolio 3_2'!$O$3:$AK$101,'Portfolio 3_2'!$AP8,21),"")</f>
        <v>ตัวอย่าง</v>
      </c>
      <c r="E9" s="82" t="str" cm="1">
        <f t="array" ref="E9">IFERROR(INDEX('Portfolio 3_2'!$O$3:$AK$101,'Portfolio 3_2'!$AP8,22),"")</f>
        <v>สงเจริญห้าสิบเจ็ด</v>
      </c>
      <c r="F9" s="82" t="str" cm="1">
        <f t="array" ref="F9">IFERROR(SUBSTITUTE(INDEX('Portfolio 3_2'!$O$3:$AK$101,'Portfolio 3_2'!$AP8,4),"+"," "),"")</f>
        <v/>
      </c>
      <c r="G9" s="82" t="str" cm="1">
        <f t="array" ref="G9">IFERROR(SUBSTITUTE(INDEX('Portfolio 3_2'!$O$3:$AK$101,'Portfolio 3_2'!$AP8,5),"+"," "),"")</f>
        <v/>
      </c>
      <c r="H9" s="82" t="str" cm="1">
        <f t="array" ref="H9">IFERROR(SUBSTITUTE(INDEX('Portfolio 3_2'!$O$3:$AK$101,'Portfolio 3_2'!$AP8,6),"+"," "),"")</f>
        <v/>
      </c>
      <c r="I9" s="82" t="str" cm="1">
        <f t="array" ref="I9">IFERROR(INDEX('Portfolio 3_2'!$O$3:$AK$101,'Portfolio 3_2'!$AP8,7),"")</f>
        <v>577</v>
      </c>
      <c r="J9" s="82" t="str" cm="1">
        <f t="array" ref="J9">IFERROR(INDEX('Portfolio 3_2'!$O$3:$AK$101,'Portfolio 3_2'!$AP8,8),"")</f>
        <v/>
      </c>
      <c r="K9" s="82" t="str" cm="1">
        <f t="array" ref="K9">IFERROR(SUBSTITUTE(INDEX('Portfolio 3_2'!$O$3:$AK$101,'Portfolio 3_2'!$AP8,9),"+"," "),"")</f>
        <v/>
      </c>
      <c r="L9" s="82" t="str" cm="1">
        <f t="array" ref="L9">IFERROR(SUBSTITUTE(INDEX('Portfolio 3_2'!$O$3:$AK$101,'Portfolio 3_2'!$AP8,12),"+"," "),"")</f>
        <v/>
      </c>
      <c r="M9" s="82" t="str" cm="1">
        <f t="array" ref="M9">IFERROR(SUBSTITUTE(INDEX('Portfolio 3_2'!$O$3:$AK$101,'Portfolio 3_2'!$AP8,10),"+"," "),"")</f>
        <v>ยันตรกิจโกศล</v>
      </c>
      <c r="N9" s="82" t="str" cm="1">
        <f t="array" ref="N9">IFERROR(SUBSTITUTE(INDEX('Portfolio 3_2'!$O$3:$AK$101,'Portfolio 3_2'!$AP8,11),"+"," "),"")</f>
        <v>ร้องกวาง</v>
      </c>
      <c r="O9" s="82" t="str" cm="1">
        <f t="array" ref="O9">IFERROR(SUBSTITUTE(INDEX('Portfolio 3_2'!$O$3:$AK$101,'Portfolio 3_2'!$AP8,13),"+"," "),"")</f>
        <v>ร้องกวาง</v>
      </c>
      <c r="P9" s="82" t="str" cm="1">
        <f t="array" ref="P9">IFERROR(IF(ISNUMBER(FIND("กรุงเทพ",INDEX('Portfolio 3_2'!$O$3:$AK$101,'Portfolio 3_2'!$AP8,14))),"กรุงเทพมหานคร",INDEX('Portfolio 3_2'!$O$3:$AK$101,'Portfolio 3_2'!$AP8,14)),"")</f>
        <v>แพร่</v>
      </c>
      <c r="Q9" s="82" t="str" cm="1">
        <f t="array" ref="Q9">IFERROR(INDEX('Portfolio 3_2'!$O$3:$AK$101,'Portfolio 3_2'!$AP8,15),"")</f>
        <v>12345</v>
      </c>
      <c r="R9" s="82" t="str" cm="1">
        <f t="array" ref="R9">IFERROR(TEXT(INDEX('Portfolio 3_2'!$O$3:$AK$101,'Portfolio 3_2'!$AP8,16),"dd/mm/yyyy"),"")</f>
        <v>04/07/2562</v>
      </c>
      <c r="S9" s="82" t="str" cm="1">
        <f t="array" ref="S9">IFERROR(INDEX('Portfolio 3_2'!$O$3:$AK$101,'Portfolio 3_2'!$AP8,20),"")</f>
        <v>ค่าบริการ</v>
      </c>
      <c r="T9" s="82" cm="1">
        <f t="array" ref="T9">IFERROR(INDEX('Portfolio 3_2'!$O$3:$AK$101,'Portfolio 3_2'!$AP8,17),"")</f>
        <v>3</v>
      </c>
      <c r="U9" s="83" cm="1">
        <f t="array" ref="U9">IFERROR(INDEX('Portfolio 3_2'!$O$3:$AK$101,'Portfolio 3_2'!$AP8,18),"")</f>
        <v>14161</v>
      </c>
      <c r="V9" s="83" cm="1">
        <f t="array" ref="V9">IFERROR(INDEX('Portfolio 3_2'!$O$3:$AK$101,'Portfolio 3_2'!$AP8,19),"")</f>
        <v>424.83</v>
      </c>
      <c r="W9" s="1" t="str">
        <f t="shared" si="0"/>
        <v>1</v>
      </c>
    </row>
    <row r="10" spans="1:23">
      <c r="A10" s="92">
        <f t="shared" si="1"/>
        <v>7</v>
      </c>
      <c r="B10" s="82" t="str" cm="1">
        <f t="array" ref="B10">IFERROR(INDEX('Portfolio 3_2'!$O$3:$AK$101,'Portfolio 3_2'!$AP9,2),"")</f>
        <v>01021XXX61943</v>
      </c>
      <c r="C10" s="82" t="str" cm="1">
        <f t="array" ref="C10">IFERROR(SUBSTITUTE(INDEX('Portfolio 3_2'!$O$3:$AK$101,'Portfolio 3_2'!$AP9,23),"น.ส.","นางสาว"),"")</f>
        <v>บริษัท</v>
      </c>
      <c r="D10" s="82" t="str" cm="1">
        <f t="array" ref="D10">IFERROR(INDEX('Portfolio 3_2'!$O$3:$AK$101,'Portfolio 3_2'!$AP9,21),"")</f>
        <v>พิ่งเปิด</v>
      </c>
      <c r="E10" s="82" t="str" cm="1">
        <f t="array" ref="E10">IFERROR(INDEX('Portfolio 3_2'!$O$3:$AK$101,'Portfolio 3_2'!$AP9,22),"")</f>
        <v>28 จำกัด</v>
      </c>
      <c r="F10" s="82" t="str" cm="1">
        <f t="array" ref="F10">IFERROR(SUBSTITUTE(INDEX('Portfolio 3_2'!$O$3:$AK$101,'Portfolio 3_2'!$AP9,4),"+"," "),"")</f>
        <v/>
      </c>
      <c r="G10" s="82" t="str" cm="1">
        <f t="array" ref="G10">IFERROR(SUBSTITUTE(INDEX('Portfolio 3_2'!$O$3:$AK$101,'Portfolio 3_2'!$AP9,5),"+"," "),"")</f>
        <v/>
      </c>
      <c r="H10" s="82" t="str" cm="1">
        <f t="array" ref="H10">IFERROR(SUBSTITUTE(INDEX('Portfolio 3_2'!$O$3:$AK$101,'Portfolio 3_2'!$AP9,6),"+"," "),"")</f>
        <v/>
      </c>
      <c r="I10" s="82" t="str" cm="1">
        <f t="array" ref="I10">IFERROR(INDEX('Portfolio 3_2'!$O$3:$AK$101,'Portfolio 3_2'!$AP9,7),"")</f>
        <v>59</v>
      </c>
      <c r="J10" s="82" t="str" cm="1">
        <f t="array" ref="J10">IFERROR(INDEX('Portfolio 3_2'!$O$3:$AK$101,'Portfolio 3_2'!$AP9,8),"")</f>
        <v>52</v>
      </c>
      <c r="K10" s="82" t="str" cm="1">
        <f t="array" ref="K10">IFERROR(SUBSTITUTE(INDEX('Portfolio 3_2'!$O$3:$AK$101,'Portfolio 3_2'!$AP9,9),"+"," "),"")</f>
        <v/>
      </c>
      <c r="L10" s="82" t="str" cm="1">
        <f t="array" ref="L10">IFERROR(SUBSTITUTE(INDEX('Portfolio 3_2'!$O$3:$AK$101,'Portfolio 3_2'!$AP9,12),"+"," "),"")</f>
        <v/>
      </c>
      <c r="M10" s="82" t="str" cm="1">
        <f t="array" ref="M10">IFERROR(SUBSTITUTE(INDEX('Portfolio 3_2'!$O$3:$AK$101,'Portfolio 3_2'!$AP9,10),"+"," "),"")</f>
        <v>แม่สะเรียง</v>
      </c>
      <c r="N10" s="82" t="str" cm="1">
        <f t="array" ref="N10">IFERROR(SUBSTITUTE(INDEX('Portfolio 3_2'!$O$3:$AK$101,'Portfolio 3_2'!$AP9,11),"+"," "),"")</f>
        <v>บ้านกาศ</v>
      </c>
      <c r="O10" s="82" t="str" cm="1">
        <f t="array" ref="O10">IFERROR(SUBSTITUTE(INDEX('Portfolio 3_2'!$O$3:$AK$101,'Portfolio 3_2'!$AP9,13),"+"," "),"")</f>
        <v>แม่สะเรียง</v>
      </c>
      <c r="P10" s="82" t="str" cm="1">
        <f t="array" ref="P10">IFERROR(IF(ISNUMBER(FIND("กรุงเทพ",INDEX('Portfolio 3_2'!$O$3:$AK$101,'Portfolio 3_2'!$AP9,14))),"กรุงเทพมหานคร",INDEX('Portfolio 3_2'!$O$3:$AK$101,'Portfolio 3_2'!$AP9,14)),"")</f>
        <v>แม่ฮ่องสอน</v>
      </c>
      <c r="Q10" s="82" t="str" cm="1">
        <f t="array" ref="Q10">IFERROR(INDEX('Portfolio 3_2'!$O$3:$AK$101,'Portfolio 3_2'!$AP9,15),"")</f>
        <v>12345</v>
      </c>
      <c r="R10" s="82" t="str" cm="1">
        <f t="array" ref="R10">IFERROR(TEXT(INDEX('Portfolio 3_2'!$O$3:$AK$101,'Portfolio 3_2'!$AP9,16),"dd/mm/yyyy"),"")</f>
        <v>31/05/2562</v>
      </c>
      <c r="S10" s="82" t="str" cm="1">
        <f t="array" ref="S10">IFERROR(INDEX('Portfolio 3_2'!$O$3:$AK$101,'Portfolio 3_2'!$AP9,20),"")</f>
        <v>ค่าบริการ</v>
      </c>
      <c r="T10" s="82" cm="1">
        <f t="array" ref="T10">IFERROR(INDEX('Portfolio 3_2'!$O$3:$AK$101,'Portfolio 3_2'!$AP9,17),"")</f>
        <v>3</v>
      </c>
      <c r="U10" s="83" cm="1">
        <f t="array" ref="U10">IFERROR(INDEX('Portfolio 3_2'!$O$3:$AK$101,'Portfolio 3_2'!$AP9,18),"")</f>
        <v>14573</v>
      </c>
      <c r="V10" s="83" cm="1">
        <f t="array" ref="V10">IFERROR(INDEX('Portfolio 3_2'!$O$3:$AK$101,'Portfolio 3_2'!$AP9,19),"")</f>
        <v>437.19</v>
      </c>
      <c r="W10" s="1" t="str">
        <f t="shared" si="0"/>
        <v>1</v>
      </c>
    </row>
    <row r="11" spans="1:23">
      <c r="A11" s="92">
        <f t="shared" si="1"/>
        <v>8</v>
      </c>
      <c r="B11" s="82" t="str" cm="1">
        <f t="array" ref="B11">IFERROR(INDEX('Portfolio 3_2'!$O$3:$AK$101,'Portfolio 3_2'!$AP10,2),"")</f>
        <v>02498XXX70848</v>
      </c>
      <c r="C11" s="82" t="str" cm="1">
        <f t="array" ref="C11">IFERROR(SUBSTITUTE(INDEX('Portfolio 3_2'!$O$3:$AK$101,'Portfolio 3_2'!$AP10,23),"น.ส.","นางสาว"),"")</f>
        <v>บริษัท</v>
      </c>
      <c r="D11" s="82" t="str" cm="1">
        <f t="array" ref="D11">IFERROR(INDEX('Portfolio 3_2'!$O$3:$AK$101,'Portfolio 3_2'!$AP10,21),"")</f>
        <v>พิ่งเปิด</v>
      </c>
      <c r="E11" s="82" t="str" cm="1">
        <f t="array" ref="E11">IFERROR(INDEX('Portfolio 3_2'!$O$3:$AK$101,'Portfolio 3_2'!$AP10,22),"")</f>
        <v>62 จำกัด</v>
      </c>
      <c r="F11" s="82" t="str" cm="1">
        <f t="array" ref="F11">IFERROR(SUBSTITUTE(INDEX('Portfolio 3_2'!$O$3:$AK$101,'Portfolio 3_2'!$AP10,4),"+"," "),"")</f>
        <v/>
      </c>
      <c r="G11" s="82" t="str" cm="1">
        <f t="array" ref="G11">IFERROR(SUBSTITUTE(INDEX('Portfolio 3_2'!$O$3:$AK$101,'Portfolio 3_2'!$AP10,5),"+"," "),"")</f>
        <v/>
      </c>
      <c r="H11" s="82" t="str" cm="1">
        <f t="array" ref="H11">IFERROR(SUBSTITUTE(INDEX('Portfolio 3_2'!$O$3:$AK$101,'Portfolio 3_2'!$AP10,6),"+"," "),"")</f>
        <v/>
      </c>
      <c r="I11" s="82" t="str" cm="1">
        <f t="array" ref="I11">IFERROR(INDEX('Portfolio 3_2'!$O$3:$AK$101,'Portfolio 3_2'!$AP10,7),"")</f>
        <v>3354</v>
      </c>
      <c r="J11" s="82" t="str" cm="1">
        <f t="array" ref="J11">IFERROR(INDEX('Portfolio 3_2'!$O$3:$AK$101,'Portfolio 3_2'!$AP10,8),"")</f>
        <v/>
      </c>
      <c r="K11" s="82" t="str" cm="1">
        <f t="array" ref="K11">IFERROR(SUBSTITUTE(INDEX('Portfolio 3_2'!$O$3:$AK$101,'Portfolio 3_2'!$AP10,9),"+"," "),"")</f>
        <v/>
      </c>
      <c r="L11" s="82" t="str" cm="1">
        <f t="array" ref="L11">IFERROR(SUBSTITUTE(INDEX('Portfolio 3_2'!$O$3:$AK$101,'Portfolio 3_2'!$AP10,12),"+"," "),"")</f>
        <v/>
      </c>
      <c r="M11" s="82" t="str" cm="1">
        <f t="array" ref="M11">IFERROR(SUBSTITUTE(INDEX('Portfolio 3_2'!$O$3:$AK$101,'Portfolio 3_2'!$AP10,10),"+"," "),"")</f>
        <v>พหลโยธิน</v>
      </c>
      <c r="N11" s="82" t="str" cm="1">
        <f t="array" ref="N11">IFERROR(SUBSTITUTE(INDEX('Portfolio 3_2'!$O$3:$AK$101,'Portfolio 3_2'!$AP10,11),"+"," "),"")</f>
        <v>เวียงพางคำ</v>
      </c>
      <c r="O11" s="82" t="str" cm="1">
        <f t="array" ref="O11">IFERROR(SUBSTITUTE(INDEX('Portfolio 3_2'!$O$3:$AK$101,'Portfolio 3_2'!$AP10,13),"+"," "),"")</f>
        <v>แม่สาย</v>
      </c>
      <c r="P11" s="82" t="str" cm="1">
        <f t="array" ref="P11">IFERROR(IF(ISNUMBER(FIND("กรุงเทพ",INDEX('Portfolio 3_2'!$O$3:$AK$101,'Portfolio 3_2'!$AP10,14))),"กรุงเทพมหานคร",INDEX('Portfolio 3_2'!$O$3:$AK$101,'Portfolio 3_2'!$AP10,14)),"")</f>
        <v>เชียงราย</v>
      </c>
      <c r="Q11" s="82" t="str" cm="1">
        <f t="array" ref="Q11">IFERROR(INDEX('Portfolio 3_2'!$O$3:$AK$101,'Portfolio 3_2'!$AP10,15),"")</f>
        <v>12345</v>
      </c>
      <c r="R11" s="82" t="str" cm="1">
        <f t="array" ref="R11">IFERROR(TEXT(INDEX('Portfolio 3_2'!$O$3:$AK$101,'Portfolio 3_2'!$AP10,16),"dd/mm/yyyy"),"")</f>
        <v>10/08/2564</v>
      </c>
      <c r="S11" s="82" t="str" cm="1">
        <f t="array" ref="S11">IFERROR(INDEX('Portfolio 3_2'!$O$3:$AK$101,'Portfolio 3_2'!$AP10,20),"")</f>
        <v>ค่าบริการ</v>
      </c>
      <c r="T11" s="82" cm="1">
        <f t="array" ref="T11">IFERROR(INDEX('Portfolio 3_2'!$O$3:$AK$101,'Portfolio 3_2'!$AP10,17),"")</f>
        <v>3</v>
      </c>
      <c r="U11" s="83" cm="1">
        <f t="array" ref="U11">IFERROR(INDEX('Portfolio 3_2'!$O$3:$AK$101,'Portfolio 3_2'!$AP10,18),"")</f>
        <v>20069</v>
      </c>
      <c r="V11" s="83" cm="1">
        <f t="array" ref="V11">IFERROR(INDEX('Portfolio 3_2'!$O$3:$AK$101,'Portfolio 3_2'!$AP10,19),"")</f>
        <v>602.06999999999994</v>
      </c>
      <c r="W11" s="1" t="str">
        <f t="shared" si="0"/>
        <v>1</v>
      </c>
    </row>
    <row r="12" spans="1:23">
      <c r="A12" s="92">
        <f t="shared" si="1"/>
        <v>9</v>
      </c>
      <c r="B12" s="82" t="str" cm="1">
        <f t="array" ref="B12">IFERROR(INDEX('Portfolio 3_2'!$O$3:$AK$101,'Portfolio 3_2'!$AP11,2),"")</f>
        <v>04539XXX42872</v>
      </c>
      <c r="C12" s="82" t="str" cm="1">
        <f t="array" ref="C12">IFERROR(SUBSTITUTE(INDEX('Portfolio 3_2'!$O$3:$AK$101,'Portfolio 3_2'!$AP11,23),"น.ส.","นางสาว"),"")</f>
        <v>บริษัท</v>
      </c>
      <c r="D12" s="82" t="str" cm="1">
        <f t="array" ref="D12">IFERROR(INDEX('Portfolio 3_2'!$O$3:$AK$101,'Portfolio 3_2'!$AP11,21),"")</f>
        <v>พิ่งเปิด</v>
      </c>
      <c r="E12" s="82" t="str" cm="1">
        <f t="array" ref="E12">IFERROR(INDEX('Portfolio 3_2'!$O$3:$AK$101,'Portfolio 3_2'!$AP11,22),"")</f>
        <v>74 จำกัด</v>
      </c>
      <c r="F12" s="82" t="str" cm="1">
        <f t="array" ref="F12">IFERROR(SUBSTITUTE(INDEX('Portfolio 3_2'!$O$3:$AK$101,'Portfolio 3_2'!$AP11,4),"+"," "),"")</f>
        <v/>
      </c>
      <c r="G12" s="82" t="str" cm="1">
        <f t="array" ref="G12">IFERROR(SUBSTITUTE(INDEX('Portfolio 3_2'!$O$3:$AK$101,'Portfolio 3_2'!$AP11,5),"+"," "),"")</f>
        <v/>
      </c>
      <c r="H12" s="82" t="str" cm="1">
        <f t="array" ref="H12">IFERROR(SUBSTITUTE(INDEX('Portfolio 3_2'!$O$3:$AK$101,'Portfolio 3_2'!$AP11,6),"+"," "),"")</f>
        <v/>
      </c>
      <c r="I12" s="82" t="str" cm="1">
        <f t="array" ref="I12">IFERROR(INDEX('Portfolio 3_2'!$O$3:$AK$101,'Portfolio 3_2'!$AP11,7),"")</f>
        <v>322</v>
      </c>
      <c r="J12" s="82" t="str" cm="1">
        <f t="array" ref="J12">IFERROR(INDEX('Portfolio 3_2'!$O$3:$AK$101,'Portfolio 3_2'!$AP11,8),"")</f>
        <v>35</v>
      </c>
      <c r="K12" s="82" t="str" cm="1">
        <f t="array" ref="K12">IFERROR(SUBSTITUTE(INDEX('Portfolio 3_2'!$O$3:$AK$101,'Portfolio 3_2'!$AP11,9),"+"," "),"")</f>
        <v/>
      </c>
      <c r="L12" s="82" t="str" cm="1">
        <f t="array" ref="L12">IFERROR(SUBSTITUTE(INDEX('Portfolio 3_2'!$O$3:$AK$101,'Portfolio 3_2'!$AP11,12),"+"," "),"")</f>
        <v/>
      </c>
      <c r="M12" s="82" t="str" cm="1">
        <f t="array" ref="M12">IFERROR(SUBSTITUTE(INDEX('Portfolio 3_2'!$O$3:$AK$101,'Portfolio 3_2'!$AP11,10),"+"," "),"")</f>
        <v/>
      </c>
      <c r="N12" s="82" t="str" cm="1">
        <f t="array" ref="N12">IFERROR(SUBSTITUTE(INDEX('Portfolio 3_2'!$O$3:$AK$101,'Portfolio 3_2'!$AP11,11),"+"," "),"")</f>
        <v>ท่าสายลวด</v>
      </c>
      <c r="O12" s="82" t="str" cm="1">
        <f t="array" ref="O12">IFERROR(SUBSTITUTE(INDEX('Portfolio 3_2'!$O$3:$AK$101,'Portfolio 3_2'!$AP11,13),"+"," "),"")</f>
        <v>แม่สอด</v>
      </c>
      <c r="P12" s="82" t="str" cm="1">
        <f t="array" ref="P12">IFERROR(IF(ISNUMBER(FIND("กรุงเทพ",INDEX('Portfolio 3_2'!$O$3:$AK$101,'Portfolio 3_2'!$AP11,14))),"กรุงเทพมหานคร",INDEX('Portfolio 3_2'!$O$3:$AK$101,'Portfolio 3_2'!$AP11,14)),"")</f>
        <v>ตาก</v>
      </c>
      <c r="Q12" s="82" t="str" cm="1">
        <f t="array" ref="Q12">IFERROR(INDEX('Portfolio 3_2'!$O$3:$AK$101,'Portfolio 3_2'!$AP11,15),"")</f>
        <v>12345</v>
      </c>
      <c r="R12" s="82" t="str" cm="1">
        <f t="array" ref="R12">IFERROR(TEXT(INDEX('Portfolio 3_2'!$O$3:$AK$101,'Portfolio 3_2'!$AP11,16),"dd/mm/yyyy"),"")</f>
        <v>30/10/2563</v>
      </c>
      <c r="S12" s="82" t="str" cm="1">
        <f t="array" ref="S12">IFERROR(INDEX('Portfolio 3_2'!$O$3:$AK$101,'Portfolio 3_2'!$AP11,20),"")</f>
        <v>ค่าบริการ</v>
      </c>
      <c r="T12" s="82" cm="1">
        <f t="array" ref="T12">IFERROR(INDEX('Portfolio 3_2'!$O$3:$AK$101,'Portfolio 3_2'!$AP11,17),"")</f>
        <v>3</v>
      </c>
      <c r="U12" s="83" cm="1">
        <f t="array" ref="U12">IFERROR(INDEX('Portfolio 3_2'!$O$3:$AK$101,'Portfolio 3_2'!$AP11,18),"")</f>
        <v>18722</v>
      </c>
      <c r="V12" s="83" cm="1">
        <f t="array" ref="V12">IFERROR(INDEX('Portfolio 3_2'!$O$3:$AK$101,'Portfolio 3_2'!$AP11,19),"")</f>
        <v>561.66</v>
      </c>
      <c r="W12" s="1" t="str">
        <f t="shared" si="0"/>
        <v>1</v>
      </c>
    </row>
    <row r="13" spans="1:23">
      <c r="A13" s="92">
        <f t="shared" si="1"/>
        <v>10</v>
      </c>
      <c r="B13" s="82" t="str" cm="1">
        <f t="array" ref="B13">IFERROR(INDEX('Portfolio 3_2'!$O$3:$AK$101,'Portfolio 3_2'!$AP12,2),"")</f>
        <v>06620XXX77062</v>
      </c>
      <c r="C13" s="82" t="str" cm="1">
        <f t="array" ref="C13">IFERROR(SUBSTITUTE(INDEX('Portfolio 3_2'!$O$3:$AK$101,'Portfolio 3_2'!$AP12,23),"น.ส.","นางสาว"),"")</f>
        <v>นาย</v>
      </c>
      <c r="D13" s="82" t="str" cm="1">
        <f t="array" ref="D13">IFERROR(INDEX('Portfolio 3_2'!$O$3:$AK$101,'Portfolio 3_2'!$AP12,21),"")</f>
        <v>อยากจะรวย</v>
      </c>
      <c r="E13" s="82" t="str" cm="1">
        <f t="array" ref="E13">IFERROR(INDEX('Portfolio 3_2'!$O$3:$AK$101,'Portfolio 3_2'!$AP12,22),"")</f>
        <v>อาคมแรงสามสิบเก้า</v>
      </c>
      <c r="F13" s="82" t="str" cm="1">
        <f t="array" ref="F13">IFERROR(SUBSTITUTE(INDEX('Portfolio 3_2'!$O$3:$AK$101,'Portfolio 3_2'!$AP12,4),"+"," "),"")</f>
        <v/>
      </c>
      <c r="G13" s="82" t="str" cm="1">
        <f t="array" ref="G13">IFERROR(SUBSTITUTE(INDEX('Portfolio 3_2'!$O$3:$AK$101,'Portfolio 3_2'!$AP12,5),"+"," "),"")</f>
        <v/>
      </c>
      <c r="H13" s="82" t="str" cm="1">
        <f t="array" ref="H13">IFERROR(SUBSTITUTE(INDEX('Portfolio 3_2'!$O$3:$AK$101,'Portfolio 3_2'!$AP12,6),"+"," "),"")</f>
        <v/>
      </c>
      <c r="I13" s="82" t="str" cm="1">
        <f t="array" ref="I13">IFERROR(INDEX('Portfolio 3_2'!$O$3:$AK$101,'Portfolio 3_2'!$AP12,7),"")</f>
        <v>330</v>
      </c>
      <c r="J13" s="82" t="str" cm="1">
        <f t="array" ref="J13">IFERROR(INDEX('Portfolio 3_2'!$O$3:$AK$101,'Portfolio 3_2'!$AP12,8),"")</f>
        <v/>
      </c>
      <c r="K13" s="82" t="str" cm="1">
        <f t="array" ref="K13">IFERROR(SUBSTITUTE(INDEX('Portfolio 3_2'!$O$3:$AK$101,'Portfolio 3_2'!$AP12,9),"+"," "),"")</f>
        <v/>
      </c>
      <c r="L13" s="82" t="str" cm="1">
        <f t="array" ref="L13">IFERROR(SUBSTITUTE(INDEX('Portfolio 3_2'!$O$3:$AK$101,'Portfolio 3_2'!$AP12,12),"+"," "),"")</f>
        <v/>
      </c>
      <c r="M13" s="82" t="str" cm="1">
        <f t="array" ref="M13">IFERROR(SUBSTITUTE(INDEX('Portfolio 3_2'!$O$3:$AK$101,'Portfolio 3_2'!$AP12,10),"+"," "),"")</f>
        <v>เชียงใหม่-ลำปาง</v>
      </c>
      <c r="N13" s="82" t="str" cm="1">
        <f t="array" ref="N13">IFERROR(SUBSTITUTE(INDEX('Portfolio 3_2'!$O$3:$AK$101,'Portfolio 3_2'!$AP12,11),"+"," "),"")</f>
        <v>ป่าตัน</v>
      </c>
      <c r="O13" s="82" t="str" cm="1">
        <f t="array" ref="O13">IFERROR(SUBSTITUTE(INDEX('Portfolio 3_2'!$O$3:$AK$101,'Portfolio 3_2'!$AP12,13),"+"," "),"")</f>
        <v>เมือง</v>
      </c>
      <c r="P13" s="82" t="str" cm="1">
        <f t="array" ref="P13">IFERROR(IF(ISNUMBER(FIND("กรุงเทพ",INDEX('Portfolio 3_2'!$O$3:$AK$101,'Portfolio 3_2'!$AP12,14))),"กรุงเทพมหานคร",INDEX('Portfolio 3_2'!$O$3:$AK$101,'Portfolio 3_2'!$AP12,14)),"")</f>
        <v>เชียงใหม่</v>
      </c>
      <c r="Q13" s="82" t="str" cm="1">
        <f t="array" ref="Q13">IFERROR(INDEX('Portfolio 3_2'!$O$3:$AK$101,'Portfolio 3_2'!$AP12,15),"")</f>
        <v>12345</v>
      </c>
      <c r="R13" s="82" t="str" cm="1">
        <f t="array" ref="R13">IFERROR(TEXT(INDEX('Portfolio 3_2'!$O$3:$AK$101,'Portfolio 3_2'!$AP12,16),"dd/mm/yyyy"),"")</f>
        <v>07/11/2563</v>
      </c>
      <c r="S13" s="82" t="str" cm="1">
        <f t="array" ref="S13">IFERROR(INDEX('Portfolio 3_2'!$O$3:$AK$101,'Portfolio 3_2'!$AP12,20),"")</f>
        <v>ค่าบริการ</v>
      </c>
      <c r="T13" s="82" cm="1">
        <f t="array" ref="T13">IFERROR(INDEX('Portfolio 3_2'!$O$3:$AK$101,'Portfolio 3_2'!$AP12,17),"")</f>
        <v>3</v>
      </c>
      <c r="U13" s="83" cm="1">
        <f t="array" ref="U13">IFERROR(INDEX('Portfolio 3_2'!$O$3:$AK$101,'Portfolio 3_2'!$AP12,18),"")</f>
        <v>15424</v>
      </c>
      <c r="V13" s="83" cm="1">
        <f t="array" ref="V13">IFERROR(INDEX('Portfolio 3_2'!$O$3:$AK$101,'Portfolio 3_2'!$AP12,19),"")</f>
        <v>462.71999999999997</v>
      </c>
      <c r="W13" s="1" t="str">
        <f t="shared" si="0"/>
        <v>1</v>
      </c>
    </row>
    <row r="14" spans="1:23">
      <c r="A14" s="92">
        <f t="shared" si="1"/>
        <v>11</v>
      </c>
      <c r="B14" s="82" t="str" cm="1">
        <f t="array" ref="B14">IFERROR(INDEX('Portfolio 3_2'!$O$3:$AK$101,'Portfolio 3_2'!$AP13,2),"")</f>
        <v>09544XXX01031</v>
      </c>
      <c r="C14" s="82" t="str" cm="1">
        <f t="array" ref="C14">IFERROR(SUBSTITUTE(INDEX('Portfolio 3_2'!$O$3:$AK$101,'Portfolio 3_2'!$AP13,23),"น.ส.","นางสาว"),"")</f>
        <v>นาย</v>
      </c>
      <c r="D14" s="82" t="str" cm="1">
        <f t="array" ref="D14">IFERROR(INDEX('Portfolio 3_2'!$O$3:$AK$101,'Portfolio 3_2'!$AP13,21),"")</f>
        <v>พิ่งเปิด</v>
      </c>
      <c r="E14" s="82" t="str" cm="1">
        <f t="array" ref="E14">IFERROR(INDEX('Portfolio 3_2'!$O$3:$AK$101,'Portfolio 3_2'!$AP13,22),"")</f>
        <v>มาคงสัยหกสิบเก้า</v>
      </c>
      <c r="F14" s="82" t="str" cm="1">
        <f t="array" ref="F14">IFERROR(SUBSTITUTE(INDEX('Portfolio 3_2'!$O$3:$AK$101,'Portfolio 3_2'!$AP13,4),"+"," "),"")</f>
        <v/>
      </c>
      <c r="G14" s="82" t="str" cm="1">
        <f t="array" ref="G14">IFERROR(SUBSTITUTE(INDEX('Portfolio 3_2'!$O$3:$AK$101,'Portfolio 3_2'!$AP13,5),"+"," "),"")</f>
        <v/>
      </c>
      <c r="H14" s="82" t="str" cm="1">
        <f t="array" ref="H14">IFERROR(SUBSTITUTE(INDEX('Portfolio 3_2'!$O$3:$AK$101,'Portfolio 3_2'!$AP13,6),"+"," "),"")</f>
        <v/>
      </c>
      <c r="I14" s="82" t="str" cm="1">
        <f t="array" ref="I14">IFERROR(INDEX('Portfolio 3_2'!$O$3:$AK$101,'Portfolio 3_2'!$AP13,7),"")</f>
        <v>3935</v>
      </c>
      <c r="J14" s="82" t="str" cm="1">
        <f t="array" ref="J14">IFERROR(INDEX('Portfolio 3_2'!$O$3:$AK$101,'Portfolio 3_2'!$AP13,8),"")</f>
        <v>35</v>
      </c>
      <c r="K14" s="82" t="str" cm="1">
        <f t="array" ref="K14">IFERROR(SUBSTITUTE(INDEX('Portfolio 3_2'!$O$3:$AK$101,'Portfolio 3_2'!$AP13,9),"+"," "),"")</f>
        <v/>
      </c>
      <c r="L14" s="82" t="str" cm="1">
        <f t="array" ref="L14">IFERROR(SUBSTITUTE(INDEX('Portfolio 3_2'!$O$3:$AK$101,'Portfolio 3_2'!$AP13,12),"+"," "),"")</f>
        <v/>
      </c>
      <c r="M14" s="82" t="str" cm="1">
        <f t="array" ref="M14">IFERROR(SUBSTITUTE(INDEX('Portfolio 3_2'!$O$3:$AK$101,'Portfolio 3_2'!$AP13,10),"+"," "),"")</f>
        <v/>
      </c>
      <c r="N14" s="82" t="str" cm="1">
        <f t="array" ref="N14">IFERROR(SUBSTITUTE(INDEX('Portfolio 3_2'!$O$3:$AK$101,'Portfolio 3_2'!$AP13,11),"+"," "),"")</f>
        <v>นครไทย</v>
      </c>
      <c r="O14" s="82" t="str" cm="1">
        <f t="array" ref="O14">IFERROR(SUBSTITUTE(INDEX('Portfolio 3_2'!$O$3:$AK$101,'Portfolio 3_2'!$AP13,13),"+"," "),"")</f>
        <v>นครไทย</v>
      </c>
      <c r="P14" s="82" t="str" cm="1">
        <f t="array" ref="P14">IFERROR(IF(ISNUMBER(FIND("กรุงเทพ",INDEX('Portfolio 3_2'!$O$3:$AK$101,'Portfolio 3_2'!$AP13,14))),"กรุงเทพมหานคร",INDEX('Portfolio 3_2'!$O$3:$AK$101,'Portfolio 3_2'!$AP13,14)),"")</f>
        <v>พิษณุโลก</v>
      </c>
      <c r="Q14" s="82" t="str" cm="1">
        <f t="array" ref="Q14">IFERROR(INDEX('Portfolio 3_2'!$O$3:$AK$101,'Portfolio 3_2'!$AP13,15),"")</f>
        <v>12345</v>
      </c>
      <c r="R14" s="82" t="str" cm="1">
        <f t="array" ref="R14">IFERROR(TEXT(INDEX('Portfolio 3_2'!$O$3:$AK$101,'Portfolio 3_2'!$AP13,16),"dd/mm/yyyy"),"")</f>
        <v>26/04/2562</v>
      </c>
      <c r="S14" s="82" t="str" cm="1">
        <f t="array" ref="S14">IFERROR(INDEX('Portfolio 3_2'!$O$3:$AK$101,'Portfolio 3_2'!$AP13,20),"")</f>
        <v>ค่าบริการ</v>
      </c>
      <c r="T14" s="82" cm="1">
        <f t="array" ref="T14">IFERROR(INDEX('Portfolio 3_2'!$O$3:$AK$101,'Portfolio 3_2'!$AP13,17),"")</f>
        <v>3</v>
      </c>
      <c r="U14" s="83" cm="1">
        <f t="array" ref="U14">IFERROR(INDEX('Portfolio 3_2'!$O$3:$AK$101,'Portfolio 3_2'!$AP13,18),"")</f>
        <v>26804</v>
      </c>
      <c r="V14" s="83" cm="1">
        <f t="array" ref="V14">IFERROR(INDEX('Portfolio 3_2'!$O$3:$AK$101,'Portfolio 3_2'!$AP13,19),"")</f>
        <v>804.12</v>
      </c>
      <c r="W14" s="1" t="str">
        <f t="shared" si="0"/>
        <v>1</v>
      </c>
    </row>
    <row r="15" spans="1:23">
      <c r="A15" s="92">
        <f t="shared" si="1"/>
        <v>12</v>
      </c>
      <c r="B15" s="82" t="str" cm="1">
        <f t="array" ref="B15">IFERROR(INDEX('Portfolio 3_2'!$O$3:$AK$101,'Portfolio 3_2'!$AP14,2),"")</f>
        <v>05101XXX40082</v>
      </c>
      <c r="C15" s="82" t="str" cm="1">
        <f t="array" ref="C15">IFERROR(SUBSTITUTE(INDEX('Portfolio 3_2'!$O$3:$AK$101,'Portfolio 3_2'!$AP14,23),"น.ส.","นางสาว"),"")</f>
        <v>บริษัท</v>
      </c>
      <c r="D15" s="82" t="str" cm="1">
        <f t="array" ref="D15">IFERROR(INDEX('Portfolio 3_2'!$O$3:$AK$101,'Portfolio 3_2'!$AP14,21),"")</f>
        <v>ซื้อแล้วรวย</v>
      </c>
      <c r="E15" s="82" t="str" cm="1">
        <f t="array" ref="E15">IFERROR(INDEX('Portfolio 3_2'!$O$3:$AK$101,'Portfolio 3_2'!$AP14,22),"")</f>
        <v>94 จำกัด</v>
      </c>
      <c r="F15" s="82" t="str" cm="1">
        <f t="array" ref="F15">IFERROR(SUBSTITUTE(INDEX('Portfolio 3_2'!$O$3:$AK$101,'Portfolio 3_2'!$AP14,4),"+"," "),"")</f>
        <v>มหาไท</v>
      </c>
      <c r="G15" s="82" t="str" cm="1">
        <f t="array" ref="G15">IFERROR(SUBSTITUTE(INDEX('Portfolio 3_2'!$O$3:$AK$101,'Portfolio 3_2'!$AP14,5),"+"," "),"")</f>
        <v>123</v>
      </c>
      <c r="H15" s="82" t="str" cm="1">
        <f t="array" ref="H15">IFERROR(SUBSTITUTE(INDEX('Portfolio 3_2'!$O$3:$AK$101,'Portfolio 3_2'!$AP14,6),"+"," "),"")</f>
        <v/>
      </c>
      <c r="I15" s="82" t="str" cm="1">
        <f t="array" ref="I15">IFERROR(INDEX('Portfolio 3_2'!$O$3:$AK$101,'Portfolio 3_2'!$AP14,7),"")</f>
        <v>399</v>
      </c>
      <c r="J15" s="82" t="str" cm="1">
        <f t="array" ref="J15">IFERROR(INDEX('Portfolio 3_2'!$O$3:$AK$101,'Portfolio 3_2'!$AP14,8),"")</f>
        <v>355</v>
      </c>
      <c r="K15" s="82" t="str" cm="1">
        <f t="array" ref="K15">IFERROR(SUBSTITUTE(INDEX('Portfolio 3_2'!$O$3:$AK$101,'Portfolio 3_2'!$AP14,9),"+"," "),"")</f>
        <v/>
      </c>
      <c r="L15" s="82" t="str" cm="1">
        <f t="array" ref="L15">IFERROR(SUBSTITUTE(INDEX('Portfolio 3_2'!$O$3:$AK$101,'Portfolio 3_2'!$AP14,12),"+"," "),"")</f>
        <v/>
      </c>
      <c r="M15" s="82" t="str" cm="1">
        <f t="array" ref="M15">IFERROR(SUBSTITUTE(INDEX('Portfolio 3_2'!$O$3:$AK$101,'Portfolio 3_2'!$AP14,10),"+"," "),"")</f>
        <v>จอมทอง-อินทนนท์</v>
      </c>
      <c r="N15" s="82" t="str" cm="1">
        <f t="array" ref="N15">IFERROR(SUBSTITUTE(INDEX('Portfolio 3_2'!$O$3:$AK$101,'Portfolio 3_2'!$AP14,11),"+"," "),"")</f>
        <v>ข่วงเปา</v>
      </c>
      <c r="O15" s="82" t="str" cm="1">
        <f t="array" ref="O15">IFERROR(SUBSTITUTE(INDEX('Portfolio 3_2'!$O$3:$AK$101,'Portfolio 3_2'!$AP14,13),"+"," "),"")</f>
        <v>จอมทอง</v>
      </c>
      <c r="P15" s="82" t="str" cm="1">
        <f t="array" ref="P15">IFERROR(IF(ISNUMBER(FIND("กรุงเทพ",INDEX('Portfolio 3_2'!$O$3:$AK$101,'Portfolio 3_2'!$AP14,14))),"กรุงเทพมหานคร",INDEX('Portfolio 3_2'!$O$3:$AK$101,'Portfolio 3_2'!$AP14,14)),"")</f>
        <v>เชียงใหม่</v>
      </c>
      <c r="Q15" s="82" t="str" cm="1">
        <f t="array" ref="Q15">IFERROR(INDEX('Portfolio 3_2'!$O$3:$AK$101,'Portfolio 3_2'!$AP14,15),"")</f>
        <v>12345</v>
      </c>
      <c r="R15" s="82" t="str" cm="1">
        <f t="array" ref="R15">IFERROR(TEXT(INDEX('Portfolio 3_2'!$O$3:$AK$101,'Portfolio 3_2'!$AP14,16),"dd/mm/yyyy"),"")</f>
        <v>08/02/2564</v>
      </c>
      <c r="S15" s="82" t="str" cm="1">
        <f t="array" ref="S15">IFERROR(INDEX('Portfolio 3_2'!$O$3:$AK$101,'Portfolio 3_2'!$AP14,20),"")</f>
        <v>ค่าบริการ</v>
      </c>
      <c r="T15" s="82" cm="1">
        <f t="array" ref="T15">IFERROR(INDEX('Portfolio 3_2'!$O$3:$AK$101,'Portfolio 3_2'!$AP14,17),"")</f>
        <v>3</v>
      </c>
      <c r="U15" s="83" cm="1">
        <f t="array" ref="U15">IFERROR(INDEX('Portfolio 3_2'!$O$3:$AK$101,'Portfolio 3_2'!$AP14,18),"")</f>
        <v>25280</v>
      </c>
      <c r="V15" s="83" cm="1">
        <f t="array" ref="V15">IFERROR(INDEX('Portfolio 3_2'!$O$3:$AK$101,'Portfolio 3_2'!$AP14,19),"")</f>
        <v>758.4</v>
      </c>
      <c r="W15" s="1" t="str">
        <f t="shared" si="0"/>
        <v>1</v>
      </c>
    </row>
    <row r="16" spans="1:23">
      <c r="A16" s="92">
        <f t="shared" si="1"/>
        <v>13</v>
      </c>
      <c r="B16" s="82" t="str" cm="1">
        <f t="array" ref="B16">IFERROR(INDEX('Portfolio 3_2'!$O$3:$AK$101,'Portfolio 3_2'!$AP15,2),"")</f>
        <v>05607XXX85393</v>
      </c>
      <c r="C16" s="82" t="str" cm="1">
        <f t="array" ref="C16">IFERROR(SUBSTITUTE(INDEX('Portfolio 3_2'!$O$3:$AK$101,'Portfolio 3_2'!$AP15,23),"น.ส.","นางสาว"),"")</f>
        <v>บริษัท</v>
      </c>
      <c r="D16" s="82" t="str" cm="1">
        <f t="array" ref="D16">IFERROR(INDEX('Portfolio 3_2'!$O$3:$AK$101,'Portfolio 3_2'!$AP15,21),"")</f>
        <v>อยากจะรวย</v>
      </c>
      <c r="E16" s="82" t="str" cm="1">
        <f t="array" ref="E16">IFERROR(INDEX('Portfolio 3_2'!$O$3:$AK$101,'Portfolio 3_2'!$AP15,22),"")</f>
        <v>98 จำกัด</v>
      </c>
      <c r="F16" s="82" t="str" cm="1">
        <f t="array" ref="F16">IFERROR(SUBSTITUTE(INDEX('Portfolio 3_2'!$O$3:$AK$101,'Portfolio 3_2'!$AP15,4),"+"," "),"")</f>
        <v/>
      </c>
      <c r="G16" s="82" t="str" cm="1">
        <f t="array" ref="G16">IFERROR(SUBSTITUTE(INDEX('Portfolio 3_2'!$O$3:$AK$101,'Portfolio 3_2'!$AP15,5),"+"," "),"")</f>
        <v/>
      </c>
      <c r="H16" s="82" t="str" cm="1">
        <f t="array" ref="H16">IFERROR(SUBSTITUTE(INDEX('Portfolio 3_2'!$O$3:$AK$101,'Portfolio 3_2'!$AP15,6),"+"," "),"")</f>
        <v/>
      </c>
      <c r="I16" s="82" t="str" cm="1">
        <f t="array" ref="I16">IFERROR(INDEX('Portfolio 3_2'!$O$3:$AK$101,'Portfolio 3_2'!$AP15,7),"")</f>
        <v>440</v>
      </c>
      <c r="J16" s="82" t="str" cm="1">
        <f t="array" ref="J16">IFERROR(INDEX('Portfolio 3_2'!$O$3:$AK$101,'Portfolio 3_2'!$AP15,8),"")</f>
        <v/>
      </c>
      <c r="K16" s="82" t="str" cm="1">
        <f t="array" ref="K16">IFERROR(SUBSTITUTE(INDEX('Portfolio 3_2'!$O$3:$AK$101,'Portfolio 3_2'!$AP15,9),"+"," "),"")</f>
        <v/>
      </c>
      <c r="L16" s="82" t="str" cm="1">
        <f t="array" ref="L16">IFERROR(SUBSTITUTE(INDEX('Portfolio 3_2'!$O$3:$AK$101,'Portfolio 3_2'!$AP15,12),"+"," "),"")</f>
        <v/>
      </c>
      <c r="M16" s="82" t="str" cm="1">
        <f t="array" ref="M16">IFERROR(SUBSTITUTE(INDEX('Portfolio 3_2'!$O$3:$AK$101,'Portfolio 3_2'!$AP15,10),"+"," "),"")</f>
        <v/>
      </c>
      <c r="N16" s="82" t="str" cm="1">
        <f t="array" ref="N16">IFERROR(SUBSTITUTE(INDEX('Portfolio 3_2'!$O$3:$AK$101,'Portfolio 3_2'!$AP15,11),"+"," "),"")</f>
        <v>หัวเวียง</v>
      </c>
      <c r="O16" s="82" t="str" cm="1">
        <f t="array" ref="O16">IFERROR(SUBSTITUTE(INDEX('Portfolio 3_2'!$O$3:$AK$101,'Portfolio 3_2'!$AP15,13),"+"," "),"")</f>
        <v>เมือง</v>
      </c>
      <c r="P16" s="82" t="str" cm="1">
        <f t="array" ref="P16">IFERROR(IF(ISNUMBER(FIND("กรุงเทพ",INDEX('Portfolio 3_2'!$O$3:$AK$101,'Portfolio 3_2'!$AP15,14))),"กรุงเทพมหานคร",INDEX('Portfolio 3_2'!$O$3:$AK$101,'Portfolio 3_2'!$AP15,14)),"")</f>
        <v>ลำปาง</v>
      </c>
      <c r="Q16" s="82" t="str" cm="1">
        <f t="array" ref="Q16">IFERROR(INDEX('Portfolio 3_2'!$O$3:$AK$101,'Portfolio 3_2'!$AP15,15),"")</f>
        <v>12345</v>
      </c>
      <c r="R16" s="82" t="str" cm="1">
        <f t="array" ref="R16">IFERROR(TEXT(INDEX('Portfolio 3_2'!$O$3:$AK$101,'Portfolio 3_2'!$AP15,16),"dd/mm/yyyy"),"")</f>
        <v>17/06/2564</v>
      </c>
      <c r="S16" s="82" t="str" cm="1">
        <f t="array" ref="S16">IFERROR(INDEX('Portfolio 3_2'!$O$3:$AK$101,'Portfolio 3_2'!$AP15,20),"")</f>
        <v>ค่าบริการ</v>
      </c>
      <c r="T16" s="82" cm="1">
        <f t="array" ref="T16">IFERROR(INDEX('Portfolio 3_2'!$O$3:$AK$101,'Portfolio 3_2'!$AP15,17),"")</f>
        <v>3</v>
      </c>
      <c r="U16" s="83" cm="1">
        <f t="array" ref="U16">IFERROR(INDEX('Portfolio 3_2'!$O$3:$AK$101,'Portfolio 3_2'!$AP15,18),"")</f>
        <v>21390</v>
      </c>
      <c r="V16" s="83" cm="1">
        <f t="array" ref="V16">IFERROR(INDEX('Portfolio 3_2'!$O$3:$AK$101,'Portfolio 3_2'!$AP15,19),"")</f>
        <v>641.69999999999993</v>
      </c>
      <c r="W16" s="1" t="str">
        <f t="shared" si="0"/>
        <v>1</v>
      </c>
    </row>
    <row r="17" spans="1:23">
      <c r="A17" s="92">
        <f t="shared" si="1"/>
        <v>14</v>
      </c>
      <c r="B17" s="82" t="str" cm="1">
        <f t="array" ref="B17">IFERROR(INDEX('Portfolio 3_2'!$O$3:$AK$101,'Portfolio 3_2'!$AP16,2),"")</f>
        <v>09308XXX07289</v>
      </c>
      <c r="C17" s="82" t="str" cm="1">
        <f t="array" ref="C17">IFERROR(SUBSTITUTE(INDEX('Portfolio 3_2'!$O$3:$AK$101,'Portfolio 3_2'!$AP16,23),"น.ส.","นางสาว"),"")</f>
        <v>นาง</v>
      </c>
      <c r="D17" s="82" t="str" cm="1">
        <f t="array" ref="D17">IFERROR(INDEX('Portfolio 3_2'!$O$3:$AK$101,'Portfolio 3_2'!$AP16,21),"")</f>
        <v>ซื้อแล้วรวย</v>
      </c>
      <c r="E17" s="82" t="str" cm="1">
        <f t="array" ref="E17">IFERROR(INDEX('Portfolio 3_2'!$O$3:$AK$101,'Portfolio 3_2'!$AP16,22),"")</f>
        <v>โตแล้วโตห้าสิบเจ็ด</v>
      </c>
      <c r="F17" s="82" t="str" cm="1">
        <f t="array" ref="F17">IFERROR(SUBSTITUTE(INDEX('Portfolio 3_2'!$O$3:$AK$101,'Portfolio 3_2'!$AP16,4),"+"," "),"")</f>
        <v/>
      </c>
      <c r="G17" s="82" t="str" cm="1">
        <f t="array" ref="G17">IFERROR(SUBSTITUTE(INDEX('Portfolio 3_2'!$O$3:$AK$101,'Portfolio 3_2'!$AP16,5),"+"," "),"")</f>
        <v/>
      </c>
      <c r="H17" s="82" t="str" cm="1">
        <f t="array" ref="H17">IFERROR(SUBSTITUTE(INDEX('Portfolio 3_2'!$O$3:$AK$101,'Portfolio 3_2'!$AP16,6),"+"," "),"")</f>
        <v/>
      </c>
      <c r="I17" s="82" t="str" cm="1">
        <f t="array" ref="I17">IFERROR(INDEX('Portfolio 3_2'!$O$3:$AK$101,'Portfolio 3_2'!$AP16,7),"")</f>
        <v>449</v>
      </c>
      <c r="J17" s="82" t="str" cm="1">
        <f t="array" ref="J17">IFERROR(INDEX('Portfolio 3_2'!$O$3:$AK$101,'Portfolio 3_2'!$AP16,8),"")</f>
        <v>35</v>
      </c>
      <c r="K17" s="82" t="str" cm="1">
        <f t="array" ref="K17">IFERROR(SUBSTITUTE(INDEX('Portfolio 3_2'!$O$3:$AK$101,'Portfolio 3_2'!$AP16,9),"+"," "),"")</f>
        <v/>
      </c>
      <c r="L17" s="82" t="str" cm="1">
        <f t="array" ref="L17">IFERROR(SUBSTITUTE(INDEX('Portfolio 3_2'!$O$3:$AK$101,'Portfolio 3_2'!$AP16,12),"+"," "),"")</f>
        <v/>
      </c>
      <c r="M17" s="82" t="str" cm="1">
        <f t="array" ref="M17">IFERROR(SUBSTITUTE(INDEX('Portfolio 3_2'!$O$3:$AK$101,'Portfolio 3_2'!$AP16,10),"+"," "),"")</f>
        <v/>
      </c>
      <c r="N17" s="82" t="str" cm="1">
        <f t="array" ref="N17">IFERROR(SUBSTITUTE(INDEX('Portfolio 3_2'!$O$3:$AK$101,'Portfolio 3_2'!$AP16,11),"+"," "),"")</f>
        <v>ริมใต้</v>
      </c>
      <c r="O17" s="82" t="str" cm="1">
        <f t="array" ref="O17">IFERROR(SUBSTITUTE(INDEX('Portfolio 3_2'!$O$3:$AK$101,'Portfolio 3_2'!$AP16,13),"+"," "),"")</f>
        <v>แม่ริม</v>
      </c>
      <c r="P17" s="82" t="str" cm="1">
        <f t="array" ref="P17">IFERROR(IF(ISNUMBER(FIND("กรุงเทพ",INDEX('Portfolio 3_2'!$O$3:$AK$101,'Portfolio 3_2'!$AP16,14))),"กรุงเทพมหานคร",INDEX('Portfolio 3_2'!$O$3:$AK$101,'Portfolio 3_2'!$AP16,14)),"")</f>
        <v>เชียงใหม่</v>
      </c>
      <c r="Q17" s="82" t="str" cm="1">
        <f t="array" ref="Q17">IFERROR(INDEX('Portfolio 3_2'!$O$3:$AK$101,'Portfolio 3_2'!$AP16,15),"")</f>
        <v>12345</v>
      </c>
      <c r="R17" s="82" t="str" cm="1">
        <f t="array" ref="R17">IFERROR(TEXT(INDEX('Portfolio 3_2'!$O$3:$AK$101,'Portfolio 3_2'!$AP16,16),"dd/mm/yyyy"),"")</f>
        <v>15/09/2563</v>
      </c>
      <c r="S17" s="82" t="str" cm="1">
        <f t="array" ref="S17">IFERROR(INDEX('Portfolio 3_2'!$O$3:$AK$101,'Portfolio 3_2'!$AP16,20),"")</f>
        <v>ค่าบริการ</v>
      </c>
      <c r="T17" s="82" cm="1">
        <f t="array" ref="T17">IFERROR(INDEX('Portfolio 3_2'!$O$3:$AK$101,'Portfolio 3_2'!$AP16,17),"")</f>
        <v>3</v>
      </c>
      <c r="U17" s="83" cm="1">
        <f t="array" ref="U17">IFERROR(INDEX('Portfolio 3_2'!$O$3:$AK$101,'Portfolio 3_2'!$AP16,18),"")</f>
        <v>20435</v>
      </c>
      <c r="V17" s="83" cm="1">
        <f t="array" ref="V17">IFERROR(INDEX('Portfolio 3_2'!$O$3:$AK$101,'Portfolio 3_2'!$AP16,19),"")</f>
        <v>613.04999999999995</v>
      </c>
      <c r="W17" s="1" t="str">
        <f t="shared" si="0"/>
        <v>1</v>
      </c>
    </row>
    <row r="18" spans="1:23">
      <c r="A18" s="92">
        <f t="shared" si="1"/>
        <v>15</v>
      </c>
      <c r="B18" s="82" t="str" cm="1">
        <f t="array" ref="B18">IFERROR(INDEX('Portfolio 3_2'!$O$3:$AK$101,'Portfolio 3_2'!$AP17,2),"")</f>
        <v>04998XXX46087</v>
      </c>
      <c r="C18" s="82" t="str" cm="1">
        <f t="array" ref="C18">IFERROR(SUBSTITUTE(INDEX('Portfolio 3_2'!$O$3:$AK$101,'Portfolio 3_2'!$AP17,23),"น.ส.","นางสาว"),"")</f>
        <v>บริษัท</v>
      </c>
      <c r="D18" s="82" t="str" cm="1">
        <f t="array" ref="D18">IFERROR(INDEX('Portfolio 3_2'!$O$3:$AK$101,'Portfolio 3_2'!$AP17,21),"")</f>
        <v>อยากจะรวย</v>
      </c>
      <c r="E18" s="82" t="str" cm="1">
        <f t="array" ref="E18">IFERROR(INDEX('Portfolio 3_2'!$O$3:$AK$101,'Portfolio 3_2'!$AP17,22),"")</f>
        <v>76 จำกัด</v>
      </c>
      <c r="F18" s="82" t="str" cm="1">
        <f t="array" ref="F18">IFERROR(SUBSTITUTE(INDEX('Portfolio 3_2'!$O$3:$AK$101,'Portfolio 3_2'!$AP17,4),"+"," "),"")</f>
        <v/>
      </c>
      <c r="G18" s="82" t="str" cm="1">
        <f t="array" ref="G18">IFERROR(SUBSTITUTE(INDEX('Portfolio 3_2'!$O$3:$AK$101,'Portfolio 3_2'!$AP17,5),"+"," "),"")</f>
        <v/>
      </c>
      <c r="H18" s="82" t="str" cm="1">
        <f t="array" ref="H18">IFERROR(SUBSTITUTE(INDEX('Portfolio 3_2'!$O$3:$AK$101,'Portfolio 3_2'!$AP17,6),"+"," "),"")</f>
        <v/>
      </c>
      <c r="I18" s="82" t="str" cm="1">
        <f t="array" ref="I18">IFERROR(INDEX('Portfolio 3_2'!$O$3:$AK$101,'Portfolio 3_2'!$AP17,7),"")</f>
        <v>472</v>
      </c>
      <c r="J18" s="82" t="str" cm="1">
        <f t="array" ref="J18">IFERROR(INDEX('Portfolio 3_2'!$O$3:$AK$101,'Portfolio 3_2'!$AP17,8),"")</f>
        <v>352</v>
      </c>
      <c r="K18" s="82" t="str" cm="1">
        <f t="array" ref="K18">IFERROR(SUBSTITUTE(INDEX('Portfolio 3_2'!$O$3:$AK$101,'Portfolio 3_2'!$AP17,9),"+"," "),"")</f>
        <v/>
      </c>
      <c r="L18" s="82" t="str" cm="1">
        <f t="array" ref="L18">IFERROR(SUBSTITUTE(INDEX('Portfolio 3_2'!$O$3:$AK$101,'Portfolio 3_2'!$AP17,12),"+"," "),"")</f>
        <v/>
      </c>
      <c r="M18" s="82" t="str" cm="1">
        <f t="array" ref="M18">IFERROR(SUBSTITUTE(INDEX('Portfolio 3_2'!$O$3:$AK$101,'Portfolio 3_2'!$AP17,10),"+"," "),"")</f>
        <v>ทางหลวงหมายเลข</v>
      </c>
      <c r="N18" s="82" t="str" cm="1">
        <f t="array" ref="N18">IFERROR(SUBSTITUTE(INDEX('Portfolio 3_2'!$O$3:$AK$101,'Portfolio 3_2'!$AP17,11),"+"," "),"")</f>
        <v>เวียง</v>
      </c>
      <c r="O18" s="82" t="str" cm="1">
        <f t="array" ref="O18">IFERROR(SUBSTITUTE(INDEX('Portfolio 3_2'!$O$3:$AK$101,'Portfolio 3_2'!$AP17,13),"+"," "),"")</f>
        <v>เวียงเชียงของ</v>
      </c>
      <c r="P18" s="82" t="str" cm="1">
        <f t="array" ref="P18">IFERROR(IF(ISNUMBER(FIND("กรุงเทพ",INDEX('Portfolio 3_2'!$O$3:$AK$101,'Portfolio 3_2'!$AP17,14))),"กรุงเทพมหานคร",INDEX('Portfolio 3_2'!$O$3:$AK$101,'Portfolio 3_2'!$AP17,14)),"")</f>
        <v>เชียงราย</v>
      </c>
      <c r="Q18" s="82" t="str" cm="1">
        <f t="array" ref="Q18">IFERROR(INDEX('Portfolio 3_2'!$O$3:$AK$101,'Portfolio 3_2'!$AP17,15),"")</f>
        <v>12345</v>
      </c>
      <c r="R18" s="82" t="str" cm="1">
        <f t="array" ref="R18">IFERROR(TEXT(INDEX('Portfolio 3_2'!$O$3:$AK$101,'Portfolio 3_2'!$AP17,16),"dd/mm/yyyy"),"")</f>
        <v>21/09/2563</v>
      </c>
      <c r="S18" s="82" t="str" cm="1">
        <f t="array" ref="S18">IFERROR(INDEX('Portfolio 3_2'!$O$3:$AK$101,'Portfolio 3_2'!$AP17,20),"")</f>
        <v>ค่าบริการ</v>
      </c>
      <c r="T18" s="82" cm="1">
        <f t="array" ref="T18">IFERROR(INDEX('Portfolio 3_2'!$O$3:$AK$101,'Portfolio 3_2'!$AP17,17),"")</f>
        <v>3</v>
      </c>
      <c r="U18" s="83" cm="1">
        <f t="array" ref="U18">IFERROR(INDEX('Portfolio 3_2'!$O$3:$AK$101,'Portfolio 3_2'!$AP17,18),"")</f>
        <v>20178</v>
      </c>
      <c r="V18" s="83" cm="1">
        <f t="array" ref="V18">IFERROR(INDEX('Portfolio 3_2'!$O$3:$AK$101,'Portfolio 3_2'!$AP17,19),"")</f>
        <v>605.34</v>
      </c>
      <c r="W18" s="1" t="str">
        <f t="shared" si="0"/>
        <v>1</v>
      </c>
    </row>
    <row r="19" spans="1:23">
      <c r="A19" s="92">
        <f t="shared" si="1"/>
        <v>16</v>
      </c>
      <c r="B19" s="82" t="str" cm="1">
        <f t="array" ref="B19">IFERROR(INDEX('Portfolio 3_2'!$O$3:$AK$101,'Portfolio 3_2'!$AP18,2),"")</f>
        <v>08610XXX63740</v>
      </c>
      <c r="C19" s="82" t="str" cm="1">
        <f t="array" ref="C19">IFERROR(SUBSTITUTE(INDEX('Portfolio 3_2'!$O$3:$AK$101,'Portfolio 3_2'!$AP18,23),"น.ส.","นางสาว"),"")</f>
        <v>นาง</v>
      </c>
      <c r="D19" s="82" t="str" cm="1">
        <f t="array" ref="D19">IFERROR(INDEX('Portfolio 3_2'!$O$3:$AK$101,'Portfolio 3_2'!$AP18,21),"")</f>
        <v>ซื้อแล้วรวย</v>
      </c>
      <c r="E19" s="82" t="str" cm="1">
        <f t="array" ref="E19">IFERROR(INDEX('Portfolio 3_2'!$O$3:$AK$101,'Portfolio 3_2'!$AP18,22),"")</f>
        <v>โตแล้วโตแปดสิบเอ็ด</v>
      </c>
      <c r="F19" s="82" t="str" cm="1">
        <f t="array" ref="F19">IFERROR(SUBSTITUTE(INDEX('Portfolio 3_2'!$O$3:$AK$101,'Portfolio 3_2'!$AP18,4),"+"," "),"")</f>
        <v/>
      </c>
      <c r="G19" s="82" t="str" cm="1">
        <f t="array" ref="G19">IFERROR(SUBSTITUTE(INDEX('Portfolio 3_2'!$O$3:$AK$101,'Portfolio 3_2'!$AP18,5),"+"," "),"")</f>
        <v/>
      </c>
      <c r="H19" s="82" t="str" cm="1">
        <f t="array" ref="H19">IFERROR(SUBSTITUTE(INDEX('Portfolio 3_2'!$O$3:$AK$101,'Portfolio 3_2'!$AP18,6),"+"," "),"")</f>
        <v/>
      </c>
      <c r="I19" s="82" t="str" cm="1">
        <f t="array" ref="I19">IFERROR(INDEX('Portfolio 3_2'!$O$3:$AK$101,'Portfolio 3_2'!$AP18,7),"")</f>
        <v>535/4</v>
      </c>
      <c r="J19" s="82" t="str" cm="1">
        <f t="array" ref="J19">IFERROR(INDEX('Portfolio 3_2'!$O$3:$AK$101,'Portfolio 3_2'!$AP18,8),"")</f>
        <v/>
      </c>
      <c r="K19" s="82" t="str" cm="1">
        <f t="array" ref="K19">IFERROR(SUBSTITUTE(INDEX('Portfolio 3_2'!$O$3:$AK$101,'Portfolio 3_2'!$AP18,9),"+"," "),"")</f>
        <v/>
      </c>
      <c r="L19" s="82" t="str" cm="1">
        <f t="array" ref="L19">IFERROR(SUBSTITUTE(INDEX('Portfolio 3_2'!$O$3:$AK$101,'Portfolio 3_2'!$AP18,12),"+"," "),"")</f>
        <v/>
      </c>
      <c r="M19" s="82" t="str" cm="1">
        <f t="array" ref="M19">IFERROR(SUBSTITUTE(INDEX('Portfolio 3_2'!$O$3:$AK$101,'Portfolio 3_2'!$AP18,10),"+"," "),"")</f>
        <v/>
      </c>
      <c r="N19" s="82" t="str" cm="1">
        <f t="array" ref="N19">IFERROR(SUBSTITUTE(INDEX('Portfolio 3_2'!$O$3:$AK$101,'Portfolio 3_2'!$AP18,11),"+"," "),"")</f>
        <v>ผาจุก</v>
      </c>
      <c r="O19" s="82" t="str" cm="1">
        <f t="array" ref="O19">IFERROR(SUBSTITUTE(INDEX('Portfolio 3_2'!$O$3:$AK$101,'Portfolio 3_2'!$AP18,13),"+"," "),"")</f>
        <v>เมือง</v>
      </c>
      <c r="P19" s="82" t="str" cm="1">
        <f t="array" ref="P19">IFERROR(IF(ISNUMBER(FIND("กรุงเทพ",INDEX('Portfolio 3_2'!$O$3:$AK$101,'Portfolio 3_2'!$AP18,14))),"กรุงเทพมหานคร",INDEX('Portfolio 3_2'!$O$3:$AK$101,'Portfolio 3_2'!$AP18,14)),"")</f>
        <v>อุตรดิตถ์</v>
      </c>
      <c r="Q19" s="82" t="str" cm="1">
        <f t="array" ref="Q19">IFERROR(INDEX('Portfolio 3_2'!$O$3:$AK$101,'Portfolio 3_2'!$AP18,15),"")</f>
        <v>12345</v>
      </c>
      <c r="R19" s="82" t="str" cm="1">
        <f t="array" ref="R19">IFERROR(TEXT(INDEX('Portfolio 3_2'!$O$3:$AK$101,'Portfolio 3_2'!$AP18,16),"dd/mm/yyyy"),"")</f>
        <v>01/10/2562</v>
      </c>
      <c r="S19" s="82" t="str" cm="1">
        <f t="array" ref="S19">IFERROR(INDEX('Portfolio 3_2'!$O$3:$AK$101,'Portfolio 3_2'!$AP18,20),"")</f>
        <v>ค่าบริการ</v>
      </c>
      <c r="T19" s="82" cm="1">
        <f t="array" ref="T19">IFERROR(INDEX('Portfolio 3_2'!$O$3:$AK$101,'Portfolio 3_2'!$AP18,17),"")</f>
        <v>3</v>
      </c>
      <c r="U19" s="83" cm="1">
        <f t="array" ref="U19">IFERROR(INDEX('Portfolio 3_2'!$O$3:$AK$101,'Portfolio 3_2'!$AP18,18),"")</f>
        <v>28277</v>
      </c>
      <c r="V19" s="83" cm="1">
        <f t="array" ref="V19">IFERROR(INDEX('Portfolio 3_2'!$O$3:$AK$101,'Portfolio 3_2'!$AP18,19),"")</f>
        <v>848.31</v>
      </c>
      <c r="W19" s="1" t="str">
        <f t="shared" si="0"/>
        <v>1</v>
      </c>
    </row>
    <row r="20" spans="1:23">
      <c r="A20" s="92">
        <f t="shared" si="1"/>
        <v>17</v>
      </c>
      <c r="B20" s="82" t="str" cm="1">
        <f t="array" ref="B20">IFERROR(INDEX('Portfolio 3_2'!$O$3:$AK$101,'Portfolio 3_2'!$AP19,2),"")</f>
        <v>03551XXX26574</v>
      </c>
      <c r="C20" s="82" t="str" cm="1">
        <f t="array" ref="C20">IFERROR(SUBSTITUTE(INDEX('Portfolio 3_2'!$O$3:$AK$101,'Portfolio 3_2'!$AP19,23),"น.ส.","นางสาว"),"")</f>
        <v>นาง</v>
      </c>
      <c r="D20" s="82" t="str" cm="1">
        <f t="array" ref="D20">IFERROR(INDEX('Portfolio 3_2'!$O$3:$AK$101,'Portfolio 3_2'!$AP19,21),"")</f>
        <v>ซื้อแล้วรวย</v>
      </c>
      <c r="E20" s="82" t="str" cm="1">
        <f t="array" ref="E20">IFERROR(INDEX('Portfolio 3_2'!$O$3:$AK$101,'Portfolio 3_2'!$AP19,22),"")</f>
        <v>โตแล้วโตหกสิบเอ็ด</v>
      </c>
      <c r="F20" s="82" t="str" cm="1">
        <f t="array" ref="F20">IFERROR(SUBSTITUTE(INDEX('Portfolio 3_2'!$O$3:$AK$101,'Portfolio 3_2'!$AP19,4),"+"," "),"")</f>
        <v/>
      </c>
      <c r="G20" s="82" t="str" cm="1">
        <f t="array" ref="G20">IFERROR(SUBSTITUTE(INDEX('Portfolio 3_2'!$O$3:$AK$101,'Portfolio 3_2'!$AP19,5),"+"," "),"")</f>
        <v/>
      </c>
      <c r="H20" s="82" t="str" cm="1">
        <f t="array" ref="H20">IFERROR(SUBSTITUTE(INDEX('Portfolio 3_2'!$O$3:$AK$101,'Portfolio 3_2'!$AP19,6),"+"," "),"")</f>
        <v/>
      </c>
      <c r="I20" s="82" t="str" cm="1">
        <f t="array" ref="I20">IFERROR(INDEX('Portfolio 3_2'!$O$3:$AK$101,'Portfolio 3_2'!$AP19,7),"")</f>
        <v>557</v>
      </c>
      <c r="J20" s="82" t="str" cm="1">
        <f t="array" ref="J20">IFERROR(INDEX('Portfolio 3_2'!$O$3:$AK$101,'Portfolio 3_2'!$AP19,8),"")</f>
        <v>3535</v>
      </c>
      <c r="K20" s="82" t="str" cm="1">
        <f t="array" ref="K20">IFERROR(SUBSTITUTE(INDEX('Portfolio 3_2'!$O$3:$AK$101,'Portfolio 3_2'!$AP19,9),"+"," "),"")</f>
        <v/>
      </c>
      <c r="L20" s="82" t="str" cm="1">
        <f t="array" ref="L20">IFERROR(SUBSTITUTE(INDEX('Portfolio 3_2'!$O$3:$AK$101,'Portfolio 3_2'!$AP19,12),"+"," "),"")</f>
        <v/>
      </c>
      <c r="M20" s="82" t="str" cm="1">
        <f t="array" ref="M20">IFERROR(SUBSTITUTE(INDEX('Portfolio 3_2'!$O$3:$AK$101,'Portfolio 3_2'!$AP19,10),"+"," "),"")</f>
        <v/>
      </c>
      <c r="N20" s="82" t="str" cm="1">
        <f t="array" ref="N20">IFERROR(SUBSTITUTE(INDEX('Portfolio 3_2'!$O$3:$AK$101,'Portfolio 3_2'!$AP19,11),"+"," "),"")</f>
        <v>เด่นชัย</v>
      </c>
      <c r="O20" s="82" t="str" cm="1">
        <f t="array" ref="O20">IFERROR(SUBSTITUTE(INDEX('Portfolio 3_2'!$O$3:$AK$101,'Portfolio 3_2'!$AP19,13),"+"," "),"")</f>
        <v>เด่นชัย</v>
      </c>
      <c r="P20" s="82" t="str" cm="1">
        <f t="array" ref="P20">IFERROR(IF(ISNUMBER(FIND("กรุงเทพ",INDEX('Portfolio 3_2'!$O$3:$AK$101,'Portfolio 3_2'!$AP19,14))),"กรุงเทพมหานคร",INDEX('Portfolio 3_2'!$O$3:$AK$101,'Portfolio 3_2'!$AP19,14)),"")</f>
        <v>แพร่</v>
      </c>
      <c r="Q20" s="82" t="str" cm="1">
        <f t="array" ref="Q20">IFERROR(INDEX('Portfolio 3_2'!$O$3:$AK$101,'Portfolio 3_2'!$AP19,15),"")</f>
        <v>12345</v>
      </c>
      <c r="R20" s="82" t="str" cm="1">
        <f t="array" ref="R20">IFERROR(TEXT(INDEX('Portfolio 3_2'!$O$3:$AK$101,'Portfolio 3_2'!$AP19,16),"dd/mm/yyyy"),"")</f>
        <v>19/08/2562</v>
      </c>
      <c r="S20" s="82" t="str" cm="1">
        <f t="array" ref="S20">IFERROR(INDEX('Portfolio 3_2'!$O$3:$AK$101,'Portfolio 3_2'!$AP19,20),"")</f>
        <v>ค่าโฆษณา</v>
      </c>
      <c r="T20" s="82" cm="1">
        <f t="array" ref="T20">IFERROR(INDEX('Portfolio 3_2'!$O$3:$AK$101,'Portfolio 3_2'!$AP19,17),"")</f>
        <v>2</v>
      </c>
      <c r="U20" s="83" cm="1">
        <f t="array" ref="U20">IFERROR(INDEX('Portfolio 3_2'!$O$3:$AK$101,'Portfolio 3_2'!$AP19,18),"")</f>
        <v>14609</v>
      </c>
      <c r="V20" s="83" cm="1">
        <f t="array" ref="V20">IFERROR(INDEX('Portfolio 3_2'!$O$3:$AK$101,'Portfolio 3_2'!$AP19,19),"")</f>
        <v>292.18</v>
      </c>
      <c r="W20" s="1" t="str">
        <f t="shared" si="0"/>
        <v>1</v>
      </c>
    </row>
    <row r="21" spans="1:23">
      <c r="A21" s="92">
        <f t="shared" si="1"/>
        <v>18</v>
      </c>
      <c r="B21" s="82" t="str" cm="1">
        <f t="array" ref="B21">IFERROR(INDEX('Portfolio 3_2'!$O$3:$AK$101,'Portfolio 3_2'!$AP20,2),"")</f>
        <v>03551XXX26574</v>
      </c>
      <c r="C21" s="82" t="str" cm="1">
        <f t="array" ref="C21">IFERROR(SUBSTITUTE(INDEX('Portfolio 3_2'!$O$3:$AK$101,'Portfolio 3_2'!$AP20,23),"น.ส.","นางสาว"),"")</f>
        <v>นาง</v>
      </c>
      <c r="D21" s="82" t="str" cm="1">
        <f t="array" ref="D21">IFERROR(INDEX('Portfolio 3_2'!$O$3:$AK$101,'Portfolio 3_2'!$AP20,21),"")</f>
        <v>ตัวอย่าง</v>
      </c>
      <c r="E21" s="82" t="str" cm="1">
        <f t="array" ref="E21">IFERROR(INDEX('Portfolio 3_2'!$O$3:$AK$101,'Portfolio 3_2'!$AP20,22),"")</f>
        <v>สงเจริญห้าสิบห้า</v>
      </c>
      <c r="F21" s="82" t="str" cm="1">
        <f t="array" ref="F21">IFERROR(SUBSTITUTE(INDEX('Portfolio 3_2'!$O$3:$AK$101,'Portfolio 3_2'!$AP20,4),"+"," "),"")</f>
        <v/>
      </c>
      <c r="G21" s="82" t="str" cm="1">
        <f t="array" ref="G21">IFERROR(SUBSTITUTE(INDEX('Portfolio 3_2'!$O$3:$AK$101,'Portfolio 3_2'!$AP20,5),"+"," "),"")</f>
        <v/>
      </c>
      <c r="H21" s="82" t="str" cm="1">
        <f t="array" ref="H21">IFERROR(SUBSTITUTE(INDEX('Portfolio 3_2'!$O$3:$AK$101,'Portfolio 3_2'!$AP20,6),"+"," "),"")</f>
        <v/>
      </c>
      <c r="I21" s="82" t="str" cm="1">
        <f t="array" ref="I21">IFERROR(INDEX('Portfolio 3_2'!$O$3:$AK$101,'Portfolio 3_2'!$AP20,7),"")</f>
        <v>557</v>
      </c>
      <c r="J21" s="82" t="str" cm="1">
        <f t="array" ref="J21">IFERROR(INDEX('Portfolio 3_2'!$O$3:$AK$101,'Portfolio 3_2'!$AP20,8),"")</f>
        <v>3535</v>
      </c>
      <c r="K21" s="82" t="str" cm="1">
        <f t="array" ref="K21">IFERROR(SUBSTITUTE(INDEX('Portfolio 3_2'!$O$3:$AK$101,'Portfolio 3_2'!$AP20,9),"+"," "),"")</f>
        <v/>
      </c>
      <c r="L21" s="82" t="str" cm="1">
        <f t="array" ref="L21">IFERROR(SUBSTITUTE(INDEX('Portfolio 3_2'!$O$3:$AK$101,'Portfolio 3_2'!$AP20,12),"+"," "),"")</f>
        <v/>
      </c>
      <c r="M21" s="82" t="str" cm="1">
        <f t="array" ref="M21">IFERROR(SUBSTITUTE(INDEX('Portfolio 3_2'!$O$3:$AK$101,'Portfolio 3_2'!$AP20,10),"+"," "),"")</f>
        <v/>
      </c>
      <c r="N21" s="82" t="str" cm="1">
        <f t="array" ref="N21">IFERROR(SUBSTITUTE(INDEX('Portfolio 3_2'!$O$3:$AK$101,'Portfolio 3_2'!$AP20,11),"+"," "),"")</f>
        <v>เด่นชัย</v>
      </c>
      <c r="O21" s="82" t="str" cm="1">
        <f t="array" ref="O21">IFERROR(SUBSTITUTE(INDEX('Portfolio 3_2'!$O$3:$AK$101,'Portfolio 3_2'!$AP20,13),"+"," "),"")</f>
        <v>เด่นชัย</v>
      </c>
      <c r="P21" s="82" t="str" cm="1">
        <f t="array" ref="P21">IFERROR(IF(ISNUMBER(FIND("กรุงเทพ",INDEX('Portfolio 3_2'!$O$3:$AK$101,'Portfolio 3_2'!$AP20,14))),"กรุงเทพมหานคร",INDEX('Portfolio 3_2'!$O$3:$AK$101,'Portfolio 3_2'!$AP20,14)),"")</f>
        <v>แพร่</v>
      </c>
      <c r="Q21" s="82" t="str" cm="1">
        <f t="array" ref="Q21">IFERROR(INDEX('Portfolio 3_2'!$O$3:$AK$101,'Portfolio 3_2'!$AP20,15),"")</f>
        <v>12345</v>
      </c>
      <c r="R21" s="82" t="str" cm="1">
        <f t="array" ref="R21">IFERROR(TEXT(INDEX('Portfolio 3_2'!$O$3:$AK$101,'Portfolio 3_2'!$AP20,16),"dd/mm/yyyy"),"")</f>
        <v>19/08/2562</v>
      </c>
      <c r="S21" s="82" t="str" cm="1">
        <f t="array" ref="S21">IFERROR(INDEX('Portfolio 3_2'!$O$3:$AK$101,'Portfolio 3_2'!$AP20,20),"")</f>
        <v>ค่าบริการ</v>
      </c>
      <c r="T21" s="82" cm="1">
        <f t="array" ref="T21">IFERROR(INDEX('Portfolio 3_2'!$O$3:$AK$101,'Portfolio 3_2'!$AP20,17),"")</f>
        <v>3</v>
      </c>
      <c r="U21" s="83" cm="1">
        <f t="array" ref="U21">IFERROR(INDEX('Portfolio 3_2'!$O$3:$AK$101,'Portfolio 3_2'!$AP20,18),"")</f>
        <v>14609</v>
      </c>
      <c r="V21" s="83" cm="1">
        <f t="array" ref="V21">IFERROR(INDEX('Portfolio 3_2'!$O$3:$AK$101,'Portfolio 3_2'!$AP20,19),"")</f>
        <v>438.27</v>
      </c>
      <c r="W21" s="1" t="str">
        <f t="shared" si="0"/>
        <v>1</v>
      </c>
    </row>
    <row r="22" spans="1:23">
      <c r="A22" s="92">
        <f t="shared" si="1"/>
        <v>19</v>
      </c>
      <c r="B22" s="82" t="str" cm="1">
        <f t="array" ref="B22">IFERROR(INDEX('Portfolio 3_2'!$O$3:$AK$101,'Portfolio 3_2'!$AP21,2),"")</f>
        <v>07388XXX11019</v>
      </c>
      <c r="C22" s="82" t="str" cm="1">
        <f t="array" ref="C22">IFERROR(SUBSTITUTE(INDEX('Portfolio 3_2'!$O$3:$AK$101,'Portfolio 3_2'!$AP21,23),"น.ส.","นางสาว"),"")</f>
        <v>นาง</v>
      </c>
      <c r="D22" s="82" t="str" cm="1">
        <f t="array" ref="D22">IFERROR(INDEX('Portfolio 3_2'!$O$3:$AK$101,'Portfolio 3_2'!$AP21,21),"")</f>
        <v>ซื้อแล้วรวย</v>
      </c>
      <c r="E22" s="82" t="str" cm="1">
        <f t="array" ref="E22">IFERROR(INDEX('Portfolio 3_2'!$O$3:$AK$101,'Portfolio 3_2'!$AP21,22),"")</f>
        <v>โตแล้วโตสี่สิบห้า</v>
      </c>
      <c r="F22" s="82" t="str" cm="1">
        <f t="array" ref="F22">IFERROR(SUBSTITUTE(INDEX('Portfolio 3_2'!$O$3:$AK$101,'Portfolio 3_2'!$AP21,4),"+"," "),"")</f>
        <v/>
      </c>
      <c r="G22" s="82" t="str" cm="1">
        <f t="array" ref="G22">IFERROR(SUBSTITUTE(INDEX('Portfolio 3_2'!$O$3:$AK$101,'Portfolio 3_2'!$AP21,5),"+"," "),"")</f>
        <v/>
      </c>
      <c r="H22" s="82" t="str" cm="1">
        <f t="array" ref="H22">IFERROR(SUBSTITUTE(INDEX('Portfolio 3_2'!$O$3:$AK$101,'Portfolio 3_2'!$AP21,6),"+"," "),"")</f>
        <v/>
      </c>
      <c r="I22" s="82" t="str" cm="1">
        <f t="array" ref="I22">IFERROR(INDEX('Portfolio 3_2'!$O$3:$AK$101,'Portfolio 3_2'!$AP21,7),"")</f>
        <v>662</v>
      </c>
      <c r="J22" s="82" t="str" cm="1">
        <f t="array" ref="J22">IFERROR(INDEX('Portfolio 3_2'!$O$3:$AK$101,'Portfolio 3_2'!$AP21,8),"")</f>
        <v>8</v>
      </c>
      <c r="K22" s="82" t="str" cm="1">
        <f t="array" ref="K22">IFERROR(SUBSTITUTE(INDEX('Portfolio 3_2'!$O$3:$AK$101,'Portfolio 3_2'!$AP21,9),"+"," "),"")</f>
        <v/>
      </c>
      <c r="L22" s="82" t="str" cm="1">
        <f t="array" ref="L22">IFERROR(SUBSTITUTE(INDEX('Portfolio 3_2'!$O$3:$AK$101,'Portfolio 3_2'!$AP21,12),"+"," "),"")</f>
        <v/>
      </c>
      <c r="M22" s="82" t="str" cm="1">
        <f t="array" ref="M22">IFERROR(SUBSTITUTE(INDEX('Portfolio 3_2'!$O$3:$AK$101,'Portfolio 3_2'!$AP21,10),"+"," "),"")</f>
        <v/>
      </c>
      <c r="N22" s="82" t="str" cm="1">
        <f t="array" ref="N22">IFERROR(SUBSTITUTE(INDEX('Portfolio 3_2'!$O$3:$AK$101,'Portfolio 3_2'!$AP21,11),"+"," "),"")</f>
        <v>วังทอง</v>
      </c>
      <c r="O22" s="82" t="str" cm="1">
        <f t="array" ref="O22">IFERROR(SUBSTITUTE(INDEX('Portfolio 3_2'!$O$3:$AK$101,'Portfolio 3_2'!$AP21,13),"+"," "),"")</f>
        <v>วังทอง</v>
      </c>
      <c r="P22" s="82" t="str" cm="1">
        <f t="array" ref="P22">IFERROR(IF(ISNUMBER(FIND("กรุงเทพ",INDEX('Portfolio 3_2'!$O$3:$AK$101,'Portfolio 3_2'!$AP21,14))),"กรุงเทพมหานคร",INDEX('Portfolio 3_2'!$O$3:$AK$101,'Portfolio 3_2'!$AP21,14)),"")</f>
        <v>พิษณุโลก</v>
      </c>
      <c r="Q22" s="82" t="str" cm="1">
        <f t="array" ref="Q22">IFERROR(INDEX('Portfolio 3_2'!$O$3:$AK$101,'Portfolio 3_2'!$AP21,15),"")</f>
        <v>12345</v>
      </c>
      <c r="R22" s="82" t="str" cm="1">
        <f t="array" ref="R22">IFERROR(TEXT(INDEX('Portfolio 3_2'!$O$3:$AK$101,'Portfolio 3_2'!$AP21,16),"dd/mm/yyyy"),"")</f>
        <v>03/06/2562</v>
      </c>
      <c r="S22" s="82" t="str" cm="1">
        <f t="array" ref="S22">IFERROR(INDEX('Portfolio 3_2'!$O$3:$AK$101,'Portfolio 3_2'!$AP21,20),"")</f>
        <v>ค่าบริการ</v>
      </c>
      <c r="T22" s="82" cm="1">
        <f t="array" ref="T22">IFERROR(INDEX('Portfolio 3_2'!$O$3:$AK$101,'Portfolio 3_2'!$AP21,17),"")</f>
        <v>3</v>
      </c>
      <c r="U22" s="83" cm="1">
        <f t="array" ref="U22">IFERROR(INDEX('Portfolio 3_2'!$O$3:$AK$101,'Portfolio 3_2'!$AP21,18),"")</f>
        <v>15177</v>
      </c>
      <c r="V22" s="83" cm="1">
        <f t="array" ref="V22">IFERROR(INDEX('Portfolio 3_2'!$O$3:$AK$101,'Portfolio 3_2'!$AP21,19),"")</f>
        <v>455.31</v>
      </c>
      <c r="W22" s="1" t="str">
        <f t="shared" si="0"/>
        <v>1</v>
      </c>
    </row>
    <row r="23" spans="1:23">
      <c r="A23" s="92">
        <f t="shared" si="1"/>
        <v>20</v>
      </c>
      <c r="B23" s="82" t="str" cm="1">
        <f t="array" ref="B23">IFERROR(INDEX('Portfolio 3_2'!$O$3:$AK$101,'Portfolio 3_2'!$AP22,2),"")</f>
        <v>07782XXX01011</v>
      </c>
      <c r="C23" s="82" t="str" cm="1">
        <f t="array" ref="C23">IFERROR(SUBSTITUTE(INDEX('Portfolio 3_2'!$O$3:$AK$101,'Portfolio 3_2'!$AP22,23),"น.ส.","นางสาว"),"")</f>
        <v>นาง</v>
      </c>
      <c r="D23" s="82" t="str" cm="1">
        <f t="array" ref="D23">IFERROR(INDEX('Portfolio 3_2'!$O$3:$AK$101,'Portfolio 3_2'!$AP22,21),"")</f>
        <v>ตัวอย่าง</v>
      </c>
      <c r="E23" s="82" t="str" cm="1">
        <f t="array" ref="E23">IFERROR(INDEX('Portfolio 3_2'!$O$3:$AK$101,'Portfolio 3_2'!$AP22,22),"")</f>
        <v>สงเจริญห้าสิบห้า</v>
      </c>
      <c r="F23" s="82" t="str" cm="1">
        <f t="array" ref="F23">IFERROR(SUBSTITUTE(INDEX('Portfolio 3_2'!$O$3:$AK$101,'Portfolio 3_2'!$AP22,4),"+"," "),"")</f>
        <v/>
      </c>
      <c r="G23" s="82" t="str" cm="1">
        <f t="array" ref="G23">IFERROR(SUBSTITUTE(INDEX('Portfolio 3_2'!$O$3:$AK$101,'Portfolio 3_2'!$AP22,5),"+"," "),"")</f>
        <v/>
      </c>
      <c r="H23" s="82" t="str" cm="1">
        <f t="array" ref="H23">IFERROR(SUBSTITUTE(INDEX('Portfolio 3_2'!$O$3:$AK$101,'Portfolio 3_2'!$AP22,6),"+"," "),"")</f>
        <v/>
      </c>
      <c r="I23" s="82" t="str" cm="1">
        <f t="array" ref="I23">IFERROR(INDEX('Portfolio 3_2'!$O$3:$AK$101,'Portfolio 3_2'!$AP22,7),"")</f>
        <v>69</v>
      </c>
      <c r="J23" s="82" t="str" cm="1">
        <f t="array" ref="J23">IFERROR(INDEX('Portfolio 3_2'!$O$3:$AK$101,'Portfolio 3_2'!$AP22,8),"")</f>
        <v/>
      </c>
      <c r="K23" s="82" t="str" cm="1">
        <f t="array" ref="K23">IFERROR(SUBSTITUTE(INDEX('Portfolio 3_2'!$O$3:$AK$101,'Portfolio 3_2'!$AP22,9),"+"," "),"")</f>
        <v/>
      </c>
      <c r="L23" s="82" t="str" cm="1">
        <f t="array" ref="L23">IFERROR(SUBSTITUTE(INDEX('Portfolio 3_2'!$O$3:$AK$101,'Portfolio 3_2'!$AP22,12),"+"," "),"")</f>
        <v/>
      </c>
      <c r="M23" s="82" t="str" cm="1">
        <f t="array" ref="M23">IFERROR(SUBSTITUTE(INDEX('Portfolio 3_2'!$O$3:$AK$101,'Portfolio 3_2'!$AP22,10),"+"," "),"")</f>
        <v>ปางล้อนิคม</v>
      </c>
      <c r="N23" s="82" t="str" cm="1">
        <f t="array" ref="N23">IFERROR(SUBSTITUTE(INDEX('Portfolio 3_2'!$O$3:$AK$101,'Portfolio 3_2'!$AP22,11),"+"," "),"")</f>
        <v>จองคำ</v>
      </c>
      <c r="O23" s="82" t="str" cm="1">
        <f t="array" ref="O23">IFERROR(SUBSTITUTE(INDEX('Portfolio 3_2'!$O$3:$AK$101,'Portfolio 3_2'!$AP22,13),"+"," "),"")</f>
        <v>เมือง</v>
      </c>
      <c r="P23" s="82" t="str" cm="1">
        <f t="array" ref="P23">IFERROR(IF(ISNUMBER(FIND("กรุงเทพ",INDEX('Portfolio 3_2'!$O$3:$AK$101,'Portfolio 3_2'!$AP22,14))),"กรุงเทพมหานคร",INDEX('Portfolio 3_2'!$O$3:$AK$101,'Portfolio 3_2'!$AP22,14)),"")</f>
        <v>แม่ฮ่องสอน</v>
      </c>
      <c r="Q23" s="82" t="str" cm="1">
        <f t="array" ref="Q23">IFERROR(INDEX('Portfolio 3_2'!$O$3:$AK$101,'Portfolio 3_2'!$AP22,15),"")</f>
        <v>12345</v>
      </c>
      <c r="R23" s="82" t="str" cm="1">
        <f t="array" ref="R23">IFERROR(TEXT(INDEX('Portfolio 3_2'!$O$3:$AK$101,'Portfolio 3_2'!$AP22,16),"dd/mm/yyyy"),"")</f>
        <v>21/08/2564</v>
      </c>
      <c r="S23" s="82" t="str" cm="1">
        <f t="array" ref="S23">IFERROR(INDEX('Portfolio 3_2'!$O$3:$AK$101,'Portfolio 3_2'!$AP22,20),"")</f>
        <v>ค่าบริการ</v>
      </c>
      <c r="T23" s="82" cm="1">
        <f t="array" ref="T23">IFERROR(INDEX('Portfolio 3_2'!$O$3:$AK$101,'Portfolio 3_2'!$AP22,17),"")</f>
        <v>3</v>
      </c>
      <c r="U23" s="83" cm="1">
        <f t="array" ref="U23">IFERROR(INDEX('Portfolio 3_2'!$O$3:$AK$101,'Portfolio 3_2'!$AP22,18),"")</f>
        <v>27243</v>
      </c>
      <c r="V23" s="83" cm="1">
        <f t="array" ref="V23">IFERROR(INDEX('Portfolio 3_2'!$O$3:$AK$101,'Portfolio 3_2'!$AP22,19),"")</f>
        <v>817.29</v>
      </c>
      <c r="W23" s="1" t="str">
        <f t="shared" si="0"/>
        <v>1</v>
      </c>
    </row>
    <row r="24" spans="1:23">
      <c r="A24" s="92">
        <f t="shared" si="1"/>
        <v>21</v>
      </c>
      <c r="B24" s="82" t="str" cm="1">
        <f t="array" ref="B24">IFERROR(INDEX('Portfolio 3_2'!$O$3:$AK$101,'Portfolio 3_2'!$AP23,2),"")</f>
        <v>06508XXX77933</v>
      </c>
      <c r="C24" s="82" t="str" cm="1">
        <f t="array" ref="C24">IFERROR(SUBSTITUTE(INDEX('Portfolio 3_2'!$O$3:$AK$101,'Portfolio 3_2'!$AP23,23),"น.ส.","นางสาว"),"")</f>
        <v>นาย</v>
      </c>
      <c r="D24" s="82" t="str" cm="1">
        <f t="array" ref="D24">IFERROR(INDEX('Portfolio 3_2'!$O$3:$AK$101,'Portfolio 3_2'!$AP23,21),"")</f>
        <v>อยากจะรวย</v>
      </c>
      <c r="E24" s="82" t="str" cm="1">
        <f t="array" ref="E24">IFERROR(INDEX('Portfolio 3_2'!$O$3:$AK$101,'Portfolio 3_2'!$AP23,22),"")</f>
        <v>อาคมแรงสี่สิบเอ็ด</v>
      </c>
      <c r="F24" s="82" t="str" cm="1">
        <f t="array" ref="F24">IFERROR(SUBSTITUTE(INDEX('Portfolio 3_2'!$O$3:$AK$101,'Portfolio 3_2'!$AP23,4),"+"," "),"")</f>
        <v/>
      </c>
      <c r="G24" s="82" t="str" cm="1">
        <f t="array" ref="G24">IFERROR(SUBSTITUTE(INDEX('Portfolio 3_2'!$O$3:$AK$101,'Portfolio 3_2'!$AP23,5),"+"," "),"")</f>
        <v/>
      </c>
      <c r="H24" s="82" t="str" cm="1">
        <f t="array" ref="H24">IFERROR(SUBSTITUTE(INDEX('Portfolio 3_2'!$O$3:$AK$101,'Portfolio 3_2'!$AP23,6),"+"," "),"")</f>
        <v/>
      </c>
      <c r="I24" s="82" t="str" cm="1">
        <f t="array" ref="I24">IFERROR(INDEX('Portfolio 3_2'!$O$3:$AK$101,'Portfolio 3_2'!$AP23,7),"")</f>
        <v>697</v>
      </c>
      <c r="J24" s="82" t="str" cm="1">
        <f t="array" ref="J24">IFERROR(INDEX('Portfolio 3_2'!$O$3:$AK$101,'Portfolio 3_2'!$AP23,8),"")</f>
        <v>4</v>
      </c>
      <c r="K24" s="82" t="str" cm="1">
        <f t="array" ref="K24">IFERROR(SUBSTITUTE(INDEX('Portfolio 3_2'!$O$3:$AK$101,'Portfolio 3_2'!$AP23,9),"+"," "),"")</f>
        <v/>
      </c>
      <c r="L24" s="82" t="str" cm="1">
        <f t="array" ref="L24">IFERROR(SUBSTITUTE(INDEX('Portfolio 3_2'!$O$3:$AK$101,'Portfolio 3_2'!$AP23,12),"+"," "),"")</f>
        <v/>
      </c>
      <c r="M24" s="82" t="str" cm="1">
        <f t="array" ref="M24">IFERROR(SUBSTITUTE(INDEX('Portfolio 3_2'!$O$3:$AK$101,'Portfolio 3_2'!$AP23,10),"+"," "),"")</f>
        <v/>
      </c>
      <c r="N24" s="82" t="str" cm="1">
        <f t="array" ref="N24">IFERROR(SUBSTITUTE(INDEX('Portfolio 3_2'!$O$3:$AK$101,'Portfolio 3_2'!$AP23,11),"+"," "),"")</f>
        <v>วังเหนือ</v>
      </c>
      <c r="O24" s="82" t="str" cm="1">
        <f t="array" ref="O24">IFERROR(SUBSTITUTE(INDEX('Portfolio 3_2'!$O$3:$AK$101,'Portfolio 3_2'!$AP23,13),"+"," "),"")</f>
        <v>วังเหนือ</v>
      </c>
      <c r="P24" s="82" t="str" cm="1">
        <f t="array" ref="P24">IFERROR(IF(ISNUMBER(FIND("กรุงเทพ",INDEX('Portfolio 3_2'!$O$3:$AK$101,'Portfolio 3_2'!$AP23,14))),"กรุงเทพมหานคร",INDEX('Portfolio 3_2'!$O$3:$AK$101,'Portfolio 3_2'!$AP23,14)),"")</f>
        <v>ลำปาง</v>
      </c>
      <c r="Q24" s="82" t="str" cm="1">
        <f t="array" ref="Q24">IFERROR(INDEX('Portfolio 3_2'!$O$3:$AK$101,'Portfolio 3_2'!$AP23,15),"")</f>
        <v>12345</v>
      </c>
      <c r="R24" s="82" t="str" cm="1">
        <f t="array" ref="R24">IFERROR(TEXT(INDEX('Portfolio 3_2'!$O$3:$AK$101,'Portfolio 3_2'!$AP23,16),"dd/mm/yyyy"),"")</f>
        <v>11/09/2563</v>
      </c>
      <c r="S24" s="82" t="str" cm="1">
        <f t="array" ref="S24">IFERROR(INDEX('Portfolio 3_2'!$O$3:$AK$101,'Portfolio 3_2'!$AP23,20),"")</f>
        <v>ค่าบริการ</v>
      </c>
      <c r="T24" s="82" cm="1">
        <f t="array" ref="T24">IFERROR(INDEX('Portfolio 3_2'!$O$3:$AK$101,'Portfolio 3_2'!$AP23,17),"")</f>
        <v>3</v>
      </c>
      <c r="U24" s="83" cm="1">
        <f t="array" ref="U24">IFERROR(INDEX('Portfolio 3_2'!$O$3:$AK$101,'Portfolio 3_2'!$AP23,18),"")</f>
        <v>14679</v>
      </c>
      <c r="V24" s="83" cm="1">
        <f t="array" ref="V24">IFERROR(INDEX('Portfolio 3_2'!$O$3:$AK$101,'Portfolio 3_2'!$AP23,19),"")</f>
        <v>440.37</v>
      </c>
      <c r="W24" s="1" t="str">
        <f t="shared" si="0"/>
        <v>1</v>
      </c>
    </row>
    <row r="25" spans="1:23">
      <c r="A25" s="92">
        <f t="shared" si="1"/>
        <v>22</v>
      </c>
      <c r="B25" s="82" t="str" cm="1">
        <f t="array" ref="B25">IFERROR(INDEX('Portfolio 3_2'!$O$3:$AK$101,'Portfolio 3_2'!$AP24,2),"")</f>
        <v>09676XXX30986</v>
      </c>
      <c r="C25" s="82" t="str" cm="1">
        <f t="array" ref="C25">IFERROR(SUBSTITUTE(INDEX('Portfolio 3_2'!$O$3:$AK$101,'Portfolio 3_2'!$AP24,23),"น.ส.","นางสาว"),"")</f>
        <v>บริษัท</v>
      </c>
      <c r="D25" s="82" t="str" cm="1">
        <f t="array" ref="D25">IFERROR(INDEX('Portfolio 3_2'!$O$3:$AK$101,'Portfolio 3_2'!$AP24,21),"")</f>
        <v>ซื้อแล้วรวย</v>
      </c>
      <c r="E25" s="82" t="str" cm="1">
        <f t="array" ref="E25">IFERROR(INDEX('Portfolio 3_2'!$O$3:$AK$101,'Portfolio 3_2'!$AP24,22),"")</f>
        <v>94 จำกัด</v>
      </c>
      <c r="F25" s="82" t="str" cm="1">
        <f t="array" ref="F25">IFERROR(SUBSTITUTE(INDEX('Portfolio 3_2'!$O$3:$AK$101,'Portfolio 3_2'!$AP24,4),"+"," "),"")</f>
        <v/>
      </c>
      <c r="G25" s="82" t="str" cm="1">
        <f t="array" ref="G25">IFERROR(SUBSTITUTE(INDEX('Portfolio 3_2'!$O$3:$AK$101,'Portfolio 3_2'!$AP24,5),"+"," "),"")</f>
        <v/>
      </c>
      <c r="H25" s="82" t="str" cm="1">
        <f t="array" ref="H25">IFERROR(SUBSTITUTE(INDEX('Portfolio 3_2'!$O$3:$AK$101,'Portfolio 3_2'!$AP24,6),"+"," "),"")</f>
        <v/>
      </c>
      <c r="I25" s="82" t="str" cm="1">
        <f t="array" ref="I25">IFERROR(INDEX('Portfolio 3_2'!$O$3:$AK$101,'Portfolio 3_2'!$AP24,7),"")</f>
        <v>74</v>
      </c>
      <c r="J25" s="82" t="str" cm="1">
        <f t="array" ref="J25">IFERROR(INDEX('Portfolio 3_2'!$O$3:$AK$101,'Portfolio 3_2'!$AP24,8),"")</f>
        <v/>
      </c>
      <c r="K25" s="82" t="str" cm="1">
        <f t="array" ref="K25">IFERROR(SUBSTITUTE(INDEX('Portfolio 3_2'!$O$3:$AK$101,'Portfolio 3_2'!$AP24,9),"+"," "),"")</f>
        <v/>
      </c>
      <c r="L25" s="82" t="str" cm="1">
        <f t="array" ref="L25">IFERROR(SUBSTITUTE(INDEX('Portfolio 3_2'!$O$3:$AK$101,'Portfolio 3_2'!$AP24,12),"+"," "),"")</f>
        <v/>
      </c>
      <c r="M25" s="82" t="str" cm="1">
        <f t="array" ref="M25">IFERROR(SUBSTITUTE(INDEX('Portfolio 3_2'!$O$3:$AK$101,'Portfolio 3_2'!$AP24,10),"+"," "),"")</f>
        <v>เทศา35</v>
      </c>
      <c r="N25" s="82" t="str" cm="1">
        <f t="array" ref="N25">IFERROR(SUBSTITUTE(INDEX('Portfolio 3_2'!$O$3:$AK$101,'Portfolio 3_2'!$AP24,11),"+"," "),"")</f>
        <v>ในเมือง</v>
      </c>
      <c r="O25" s="82" t="str" cm="1">
        <f t="array" ref="O25">IFERROR(SUBSTITUTE(INDEX('Portfolio 3_2'!$O$3:$AK$101,'Portfolio 3_2'!$AP24,13),"+"," "),"")</f>
        <v>เมือง</v>
      </c>
      <c r="P25" s="82" t="str" cm="1">
        <f t="array" ref="P25">IFERROR(IF(ISNUMBER(FIND("กรุงเทพ",INDEX('Portfolio 3_2'!$O$3:$AK$101,'Portfolio 3_2'!$AP24,14))),"กรุงเทพมหานคร",INDEX('Portfolio 3_2'!$O$3:$AK$101,'Portfolio 3_2'!$AP24,14)),"")</f>
        <v>กำแพงเพชร</v>
      </c>
      <c r="Q25" s="82" t="str" cm="1">
        <f t="array" ref="Q25">IFERROR(INDEX('Portfolio 3_2'!$O$3:$AK$101,'Portfolio 3_2'!$AP24,15),"")</f>
        <v>12345</v>
      </c>
      <c r="R25" s="82" t="str" cm="1">
        <f t="array" ref="R25">IFERROR(TEXT(INDEX('Portfolio 3_2'!$O$3:$AK$101,'Portfolio 3_2'!$AP24,16),"dd/mm/yyyy"),"")</f>
        <v>11/07/2563</v>
      </c>
      <c r="S25" s="82" t="str" cm="1">
        <f t="array" ref="S25">IFERROR(INDEX('Portfolio 3_2'!$O$3:$AK$101,'Portfolio 3_2'!$AP24,20),"")</f>
        <v>ค่าบริการ</v>
      </c>
      <c r="T25" s="82" cm="1">
        <f t="array" ref="T25">IFERROR(INDEX('Portfolio 3_2'!$O$3:$AK$101,'Portfolio 3_2'!$AP24,17),"")</f>
        <v>3</v>
      </c>
      <c r="U25" s="83" cm="1">
        <f t="array" ref="U25">IFERROR(INDEX('Portfolio 3_2'!$O$3:$AK$101,'Portfolio 3_2'!$AP24,18),"")</f>
        <v>13069</v>
      </c>
      <c r="V25" s="83" cm="1">
        <f t="array" ref="V25">IFERROR(INDEX('Portfolio 3_2'!$O$3:$AK$101,'Portfolio 3_2'!$AP24,19),"")</f>
        <v>392.07</v>
      </c>
      <c r="W25" s="1" t="str">
        <f t="shared" si="0"/>
        <v>1</v>
      </c>
    </row>
    <row r="26" spans="1:23">
      <c r="A26" s="92">
        <f t="shared" si="1"/>
        <v>23</v>
      </c>
      <c r="B26" s="82" t="str" cm="1">
        <f t="array" ref="B26">IFERROR(INDEX('Portfolio 3_2'!$O$3:$AK$101,'Portfolio 3_2'!$AP25,2),"")</f>
        <v>07517XXX34525</v>
      </c>
      <c r="C26" s="82" t="str" cm="1">
        <f t="array" ref="C26">IFERROR(SUBSTITUTE(INDEX('Portfolio 3_2'!$O$3:$AK$101,'Portfolio 3_2'!$AP25,23),"น.ส.","นางสาว"),"")</f>
        <v>นาง</v>
      </c>
      <c r="D26" s="82" t="str" cm="1">
        <f t="array" ref="D26">IFERROR(INDEX('Portfolio 3_2'!$O$3:$AK$101,'Portfolio 3_2'!$AP25,21),"")</f>
        <v>ตัวอย่าง</v>
      </c>
      <c r="E26" s="82" t="str" cm="1">
        <f t="array" ref="E26">IFERROR(INDEX('Portfolio 3_2'!$O$3:$AK$101,'Portfolio 3_2'!$AP25,22),"")</f>
        <v>สงเจริญห้าสิบห้า</v>
      </c>
      <c r="F26" s="82" t="str" cm="1">
        <f t="array" ref="F26">IFERROR(SUBSTITUTE(INDEX('Portfolio 3_2'!$O$3:$AK$101,'Portfolio 3_2'!$AP25,4),"+"," "),"")</f>
        <v/>
      </c>
      <c r="G26" s="82" t="str" cm="1">
        <f t="array" ref="G26">IFERROR(SUBSTITUTE(INDEX('Portfolio 3_2'!$O$3:$AK$101,'Portfolio 3_2'!$AP25,5),"+"," "),"")</f>
        <v/>
      </c>
      <c r="H26" s="82" t="str" cm="1">
        <f t="array" ref="H26">IFERROR(SUBSTITUTE(INDEX('Portfolio 3_2'!$O$3:$AK$101,'Portfolio 3_2'!$AP25,6),"+"," "),"")</f>
        <v/>
      </c>
      <c r="I26" s="82" t="str" cm="1">
        <f t="array" ref="I26">IFERROR(INDEX('Portfolio 3_2'!$O$3:$AK$101,'Portfolio 3_2'!$AP25,7),"")</f>
        <v>9/35</v>
      </c>
      <c r="J26" s="82" t="str" cm="1">
        <f t="array" ref="J26">IFERROR(INDEX('Portfolio 3_2'!$O$3:$AK$101,'Portfolio 3_2'!$AP25,8),"")</f>
        <v/>
      </c>
      <c r="K26" s="82" t="str" cm="1">
        <f t="array" ref="K26">IFERROR(SUBSTITUTE(INDEX('Portfolio 3_2'!$O$3:$AK$101,'Portfolio 3_2'!$AP25,9),"+"," "),"")</f>
        <v/>
      </c>
      <c r="L26" s="82" t="str" cm="1">
        <f t="array" ref="L26">IFERROR(SUBSTITUTE(INDEX('Portfolio 3_2'!$O$3:$AK$101,'Portfolio 3_2'!$AP25,12),"+"," "),"")</f>
        <v/>
      </c>
      <c r="M26" s="82" t="str" cm="1">
        <f t="array" ref="M26">IFERROR(SUBSTITUTE(INDEX('Portfolio 3_2'!$O$3:$AK$101,'Portfolio 3_2'!$AP25,10),"+"," "),"")</f>
        <v>มหาดไทยบำรุง</v>
      </c>
      <c r="N26" s="82" t="str" cm="1">
        <f t="array" ref="N26">IFERROR(SUBSTITUTE(INDEX('Portfolio 3_2'!$O$3:$AK$101,'Portfolio 3_2'!$AP25,11),"+"," "),"")</f>
        <v>หนองหลวง</v>
      </c>
      <c r="O26" s="82" t="str" cm="1">
        <f t="array" ref="O26">IFERROR(SUBSTITUTE(INDEX('Portfolio 3_2'!$O$3:$AK$101,'Portfolio 3_2'!$AP25,13),"+"," "),"")</f>
        <v>เมือง</v>
      </c>
      <c r="P26" s="82" t="str" cm="1">
        <f t="array" ref="P26">IFERROR(IF(ISNUMBER(FIND("กรุงเทพ",INDEX('Portfolio 3_2'!$O$3:$AK$101,'Portfolio 3_2'!$AP25,14))),"กรุงเทพมหานคร",INDEX('Portfolio 3_2'!$O$3:$AK$101,'Portfolio 3_2'!$AP25,14)),"")</f>
        <v>ตาก</v>
      </c>
      <c r="Q26" s="82" t="str" cm="1">
        <f t="array" ref="Q26">IFERROR(INDEX('Portfolio 3_2'!$O$3:$AK$101,'Portfolio 3_2'!$AP25,15),"")</f>
        <v>12345</v>
      </c>
      <c r="R26" s="82" t="str" cm="1">
        <f t="array" ref="R26">IFERROR(TEXT(INDEX('Portfolio 3_2'!$O$3:$AK$101,'Portfolio 3_2'!$AP25,16),"dd/mm/yyyy"),"")</f>
        <v>17/06/2563</v>
      </c>
      <c r="S26" s="82" t="str" cm="1">
        <f t="array" ref="S26">IFERROR(INDEX('Portfolio 3_2'!$O$3:$AK$101,'Portfolio 3_2'!$AP25,20),"")</f>
        <v>ค่าบริการ</v>
      </c>
      <c r="T26" s="82" cm="1">
        <f t="array" ref="T26">IFERROR(INDEX('Portfolio 3_2'!$O$3:$AK$101,'Portfolio 3_2'!$AP25,17),"")</f>
        <v>3</v>
      </c>
      <c r="U26" s="83" cm="1">
        <f t="array" ref="U26">IFERROR(INDEX('Portfolio 3_2'!$O$3:$AK$101,'Portfolio 3_2'!$AP25,18),"")</f>
        <v>23463</v>
      </c>
      <c r="V26" s="83" cm="1">
        <f t="array" ref="V26">IFERROR(INDEX('Portfolio 3_2'!$O$3:$AK$101,'Portfolio 3_2'!$AP25,19),"")</f>
        <v>703.89</v>
      </c>
      <c r="W26" s="1" t="str">
        <f t="shared" si="0"/>
        <v>1</v>
      </c>
    </row>
    <row r="27" spans="1:23">
      <c r="A27" s="92">
        <f t="shared" si="1"/>
        <v>24</v>
      </c>
      <c r="B27" s="82" t="str" cm="1">
        <f t="array" ref="B27">IFERROR(INDEX('Portfolio 3_2'!$O$3:$AK$101,'Portfolio 3_2'!$AP26,2),"")</f>
        <v>09558XXX51579</v>
      </c>
      <c r="C27" s="82" t="str" cm="1">
        <f t="array" ref="C27">IFERROR(SUBSTITUTE(INDEX('Portfolio 3_2'!$O$3:$AK$101,'Portfolio 3_2'!$AP26,23),"น.ส.","นางสาว"),"")</f>
        <v>นาง</v>
      </c>
      <c r="D27" s="82" t="str" cm="1">
        <f t="array" ref="D27">IFERROR(INDEX('Portfolio 3_2'!$O$3:$AK$101,'Portfolio 3_2'!$AP26,21),"")</f>
        <v>ซื้อแล้วรวย</v>
      </c>
      <c r="E27" s="82" t="str" cm="1">
        <f t="array" ref="E27">IFERROR(INDEX('Portfolio 3_2'!$O$3:$AK$101,'Portfolio 3_2'!$AP26,22),"")</f>
        <v>โตแล้วโตเจ็ดสิบเจ็ด</v>
      </c>
      <c r="F27" s="82" t="str" cm="1">
        <f t="array" ref="F27">IFERROR(SUBSTITUTE(INDEX('Portfolio 3_2'!$O$3:$AK$101,'Portfolio 3_2'!$AP26,4),"+"," "),"")</f>
        <v/>
      </c>
      <c r="G27" s="82" t="str" cm="1">
        <f t="array" ref="G27">IFERROR(SUBSTITUTE(INDEX('Portfolio 3_2'!$O$3:$AK$101,'Portfolio 3_2'!$AP26,5),"+"," "),"")</f>
        <v/>
      </c>
      <c r="H27" s="82" t="str" cm="1">
        <f t="array" ref="H27">IFERROR(SUBSTITUTE(INDEX('Portfolio 3_2'!$O$3:$AK$101,'Portfolio 3_2'!$AP26,6),"+"," "),"")</f>
        <v/>
      </c>
      <c r="I27" s="82" t="str" cm="1">
        <f t="array" ref="I27">IFERROR(INDEX('Portfolio 3_2'!$O$3:$AK$101,'Portfolio 3_2'!$AP26,7),"")</f>
        <v>940</v>
      </c>
      <c r="J27" s="82" t="str" cm="1">
        <f t="array" ref="J27">IFERROR(INDEX('Portfolio 3_2'!$O$3:$AK$101,'Portfolio 3_2'!$AP26,8),"")</f>
        <v>35</v>
      </c>
      <c r="K27" s="82" t="str" cm="1">
        <f t="array" ref="K27">IFERROR(SUBSTITUTE(INDEX('Portfolio 3_2'!$O$3:$AK$101,'Portfolio 3_2'!$AP26,9),"+"," "),"")</f>
        <v/>
      </c>
      <c r="L27" s="82" t="str" cm="1">
        <f t="array" ref="L27">IFERROR(SUBSTITUTE(INDEX('Portfolio 3_2'!$O$3:$AK$101,'Portfolio 3_2'!$AP26,12),"+"," "),"")</f>
        <v/>
      </c>
      <c r="M27" s="82" t="str" cm="1">
        <f t="array" ref="M27">IFERROR(SUBSTITUTE(INDEX('Portfolio 3_2'!$O$3:$AK$101,'Portfolio 3_2'!$AP26,10),"+"," "),"")</f>
        <v/>
      </c>
      <c r="N27" s="82" t="str" cm="1">
        <f t="array" ref="N27">IFERROR(SUBSTITUTE(INDEX('Portfolio 3_2'!$O$3:$AK$101,'Portfolio 3_2'!$AP26,11),"+"," "),"")</f>
        <v>หาดเสี้ยว</v>
      </c>
      <c r="O27" s="82" t="str" cm="1">
        <f t="array" ref="O27">IFERROR(SUBSTITUTE(INDEX('Portfolio 3_2'!$O$3:$AK$101,'Portfolio 3_2'!$AP26,13),"+"," "),"")</f>
        <v>ศรีสัชนาลัย</v>
      </c>
      <c r="P27" s="82" t="str" cm="1">
        <f t="array" ref="P27">IFERROR(IF(ISNUMBER(FIND("กรุงเทพ",INDEX('Portfolio 3_2'!$O$3:$AK$101,'Portfolio 3_2'!$AP26,14))),"กรุงเทพมหานคร",INDEX('Portfolio 3_2'!$O$3:$AK$101,'Portfolio 3_2'!$AP26,14)),"")</f>
        <v>สุโขทัย</v>
      </c>
      <c r="Q27" s="82" t="str" cm="1">
        <f t="array" ref="Q27">IFERROR(INDEX('Portfolio 3_2'!$O$3:$AK$101,'Portfolio 3_2'!$AP26,15),"")</f>
        <v>12345</v>
      </c>
      <c r="R27" s="82" t="str" cm="1">
        <f t="array" ref="R27">IFERROR(TEXT(INDEX('Portfolio 3_2'!$O$3:$AK$101,'Portfolio 3_2'!$AP26,16),"dd/mm/yyyy"),"")</f>
        <v>20/08/2563</v>
      </c>
      <c r="S27" s="82" t="str" cm="1">
        <f t="array" ref="S27">IFERROR(INDEX('Portfolio 3_2'!$O$3:$AK$101,'Portfolio 3_2'!$AP26,20),"")</f>
        <v>ค่าบริการ</v>
      </c>
      <c r="T27" s="82" cm="1">
        <f t="array" ref="T27">IFERROR(INDEX('Portfolio 3_2'!$O$3:$AK$101,'Portfolio 3_2'!$AP26,17),"")</f>
        <v>3</v>
      </c>
      <c r="U27" s="83" cm="1">
        <f t="array" ref="U27">IFERROR(INDEX('Portfolio 3_2'!$O$3:$AK$101,'Portfolio 3_2'!$AP26,18),"")</f>
        <v>22268</v>
      </c>
      <c r="V27" s="83" cm="1">
        <f t="array" ref="V27">IFERROR(INDEX('Portfolio 3_2'!$O$3:$AK$101,'Portfolio 3_2'!$AP26,19),"")</f>
        <v>668.04</v>
      </c>
      <c r="W27" s="1" t="str">
        <f t="shared" si="0"/>
        <v>1</v>
      </c>
    </row>
    <row r="28" spans="1:23">
      <c r="A28" s="92">
        <f t="shared" si="1"/>
        <v>25</v>
      </c>
      <c r="B28" s="82" t="str" cm="1">
        <f t="array" ref="B28">IFERROR(INDEX('Portfolio 3_2'!$O$3:$AK$101,'Portfolio 3_2'!$AP27,2),"")</f>
        <v>08410XXX54596</v>
      </c>
      <c r="C28" s="82" t="str" cm="1">
        <f t="array" ref="C28">IFERROR(SUBSTITUTE(INDEX('Portfolio 3_2'!$O$3:$AK$101,'Portfolio 3_2'!$AP27,23),"น.ส.","นางสาว"),"")</f>
        <v>บริษัท</v>
      </c>
      <c r="D28" s="82" t="str" cm="1">
        <f t="array" ref="D28">IFERROR(INDEX('Portfolio 3_2'!$O$3:$AK$101,'Portfolio 3_2'!$AP27,21),"")</f>
        <v>อยากจะรวย</v>
      </c>
      <c r="E28" s="82" t="str" cm="1">
        <f t="array" ref="E28">IFERROR(INDEX('Portfolio 3_2'!$O$3:$AK$101,'Portfolio 3_2'!$AP27,22),"")</f>
        <v>36 จำกัด</v>
      </c>
      <c r="F28" s="82" t="str" cm="1">
        <f t="array" ref="F28">IFERROR(SUBSTITUTE(INDEX('Portfolio 3_2'!$O$3:$AK$101,'Portfolio 3_2'!$AP27,4),"+"," "),"")</f>
        <v/>
      </c>
      <c r="G28" s="82" t="str" cm="1">
        <f t="array" ref="G28">IFERROR(SUBSTITUTE(INDEX('Portfolio 3_2'!$O$3:$AK$101,'Portfolio 3_2'!$AP27,5),"+"," "),"")</f>
        <v/>
      </c>
      <c r="H28" s="82" t="str" cm="1">
        <f t="array" ref="H28">IFERROR(SUBSTITUTE(INDEX('Portfolio 3_2'!$O$3:$AK$101,'Portfolio 3_2'!$AP27,6),"+"," "),"")</f>
        <v/>
      </c>
      <c r="I28" s="82" t="str" cm="1">
        <f t="array" ref="I28">IFERROR(INDEX('Portfolio 3_2'!$O$3:$AK$101,'Portfolio 3_2'!$AP27,7),"")</f>
        <v>111</v>
      </c>
      <c r="J28" s="82" t="str" cm="1">
        <f t="array" ref="J28">IFERROR(INDEX('Portfolio 3_2'!$O$3:$AK$101,'Portfolio 3_2'!$AP27,8),"")</f>
        <v/>
      </c>
      <c r="K28" s="82" t="str" cm="1">
        <f t="array" ref="K28">IFERROR(SUBSTITUTE(INDEX('Portfolio 3_2'!$O$3:$AK$101,'Portfolio 3_2'!$AP27,9),"+"," "),"")</f>
        <v/>
      </c>
      <c r="L28" s="82" t="str" cm="1">
        <f t="array" ref="L28">IFERROR(SUBSTITUTE(INDEX('Portfolio 3_2'!$O$3:$AK$101,'Portfolio 3_2'!$AP27,12),"+"," "),"")</f>
        <v/>
      </c>
      <c r="M28" s="82" t="str" cm="1">
        <f t="array" ref="M28">IFERROR(SUBSTITUTE(INDEX('Portfolio 3_2'!$O$3:$AK$101,'Portfolio 3_2'!$AP27,10),"+"," "),"")</f>
        <v>สุมนเทวราช</v>
      </c>
      <c r="N28" s="82" t="str" cm="1">
        <f t="array" ref="N28">IFERROR(SUBSTITUTE(INDEX('Portfolio 3_2'!$O$3:$AK$101,'Portfolio 3_2'!$AP27,11),"+"," "),"")</f>
        <v>ในเวียง</v>
      </c>
      <c r="O28" s="82" t="str" cm="1">
        <f t="array" ref="O28">IFERROR(SUBSTITUTE(INDEX('Portfolio 3_2'!$O$3:$AK$101,'Portfolio 3_2'!$AP27,13),"+"," "),"")</f>
        <v>เมือง</v>
      </c>
      <c r="P28" s="82" t="str" cm="1">
        <f t="array" ref="P28">IFERROR(IF(ISNUMBER(FIND("กรุงเทพ",INDEX('Portfolio 3_2'!$O$3:$AK$101,'Portfolio 3_2'!$AP27,14))),"กรุงเทพมหานคร",INDEX('Portfolio 3_2'!$O$3:$AK$101,'Portfolio 3_2'!$AP27,14)),"")</f>
        <v>น่าน</v>
      </c>
      <c r="Q28" s="82" t="str" cm="1">
        <f t="array" ref="Q28">IFERROR(INDEX('Portfolio 3_2'!$O$3:$AK$101,'Portfolio 3_2'!$AP27,15),"")</f>
        <v>12345</v>
      </c>
      <c r="R28" s="82" t="str" cm="1">
        <f t="array" ref="R28">IFERROR(TEXT(INDEX('Portfolio 3_2'!$O$3:$AK$101,'Portfolio 3_2'!$AP27,16),"dd/mm/yyyy"),"")</f>
        <v>31/08/2564</v>
      </c>
      <c r="S28" s="82" t="str" cm="1">
        <f t="array" ref="S28">IFERROR(INDEX('Portfolio 3_2'!$O$3:$AK$101,'Portfolio 3_2'!$AP27,20),"")</f>
        <v>ค่าเบี้ยประกัน</v>
      </c>
      <c r="T28" s="82" cm="1">
        <f t="array" ref="T28">IFERROR(INDEX('Portfolio 3_2'!$O$3:$AK$101,'Portfolio 3_2'!$AP27,17),"")</f>
        <v>1</v>
      </c>
      <c r="U28" s="83" cm="1">
        <f t="array" ref="U28">IFERROR(INDEX('Portfolio 3_2'!$O$3:$AK$101,'Portfolio 3_2'!$AP27,18),"")</f>
        <v>23263</v>
      </c>
      <c r="V28" s="83" cm="1">
        <f t="array" ref="V28">IFERROR(INDEX('Portfolio 3_2'!$O$3:$AK$101,'Portfolio 3_2'!$AP27,19),"")</f>
        <v>232.63</v>
      </c>
      <c r="W28" s="1" t="str">
        <f t="shared" si="0"/>
        <v>1</v>
      </c>
    </row>
    <row r="29" spans="1:23">
      <c r="A29" s="92">
        <f t="shared" si="1"/>
        <v>26</v>
      </c>
      <c r="B29" s="82" t="str" cm="1">
        <f t="array" ref="B29">IFERROR(INDEX('Portfolio 3_2'!$O$3:$AK$101,'Portfolio 3_2'!$AP28,2),"")</f>
        <v>09822XXX58092</v>
      </c>
      <c r="C29" s="82" t="str" cm="1">
        <f t="array" ref="C29">IFERROR(SUBSTITUTE(INDEX('Portfolio 3_2'!$O$3:$AK$101,'Portfolio 3_2'!$AP28,23),"น.ส.","นางสาว"),"")</f>
        <v>บริษัท</v>
      </c>
      <c r="D29" s="82" t="str" cm="1">
        <f t="array" ref="D29">IFERROR(INDEX('Portfolio 3_2'!$O$3:$AK$101,'Portfolio 3_2'!$AP28,21),"")</f>
        <v>ตัวอย่าง</v>
      </c>
      <c r="E29" s="82" t="str" cm="1">
        <f t="array" ref="E29">IFERROR(INDEX('Portfolio 3_2'!$O$3:$AK$101,'Portfolio 3_2'!$AP28,22),"")</f>
        <v>76 จำกัด</v>
      </c>
      <c r="F29" s="82" t="str" cm="1">
        <f t="array" ref="F29">IFERROR(SUBSTITUTE(INDEX('Portfolio 3_2'!$O$3:$AK$101,'Portfolio 3_2'!$AP28,4),"+"," "),"")</f>
        <v/>
      </c>
      <c r="G29" s="82" t="str" cm="1">
        <f t="array" ref="G29">IFERROR(SUBSTITUTE(INDEX('Portfolio 3_2'!$O$3:$AK$101,'Portfolio 3_2'!$AP28,5),"+"," "),"")</f>
        <v/>
      </c>
      <c r="H29" s="82" t="str" cm="1">
        <f t="array" ref="H29">IFERROR(SUBSTITUTE(INDEX('Portfolio 3_2'!$O$3:$AK$101,'Portfolio 3_2'!$AP28,6),"+"," "),"")</f>
        <v/>
      </c>
      <c r="I29" s="82" t="str" cm="1">
        <f t="array" ref="I29">IFERROR(INDEX('Portfolio 3_2'!$O$3:$AK$101,'Portfolio 3_2'!$AP28,7),"")</f>
        <v>322</v>
      </c>
      <c r="J29" s="82" t="str" cm="1">
        <f t="array" ref="J29">IFERROR(INDEX('Portfolio 3_2'!$O$3:$AK$101,'Portfolio 3_2'!$AP28,8),"")</f>
        <v>35</v>
      </c>
      <c r="K29" s="82" t="str" cm="1">
        <f t="array" ref="K29">IFERROR(SUBSTITUTE(INDEX('Portfolio 3_2'!$O$3:$AK$101,'Portfolio 3_2'!$AP28,9),"+"," "),"")</f>
        <v/>
      </c>
      <c r="L29" s="82" t="str" cm="1">
        <f t="array" ref="L29">IFERROR(SUBSTITUTE(INDEX('Portfolio 3_2'!$O$3:$AK$101,'Portfolio 3_2'!$AP28,12),"+"," "),"")</f>
        <v/>
      </c>
      <c r="M29" s="82" t="str" cm="1">
        <f t="array" ref="M29">IFERROR(SUBSTITUTE(INDEX('Portfolio 3_2'!$O$3:$AK$101,'Portfolio 3_2'!$AP28,10),"+"," "),"")</f>
        <v/>
      </c>
      <c r="N29" s="82" t="str" cm="1">
        <f t="array" ref="N29">IFERROR(SUBSTITUTE(INDEX('Portfolio 3_2'!$O$3:$AK$101,'Portfolio 3_2'!$AP28,11),"+"," "),"")</f>
        <v>ท่าสายลวด</v>
      </c>
      <c r="O29" s="82" t="str" cm="1">
        <f t="array" ref="O29">IFERROR(SUBSTITUTE(INDEX('Portfolio 3_2'!$O$3:$AK$101,'Portfolio 3_2'!$AP28,13),"+"," "),"")</f>
        <v>แม่สอด</v>
      </c>
      <c r="P29" s="82" t="str" cm="1">
        <f t="array" ref="P29">IFERROR(IF(ISNUMBER(FIND("กรุงเทพ",INDEX('Portfolio 3_2'!$O$3:$AK$101,'Portfolio 3_2'!$AP28,14))),"กรุงเทพมหานคร",INDEX('Portfolio 3_2'!$O$3:$AK$101,'Portfolio 3_2'!$AP28,14)),"")</f>
        <v>ตาก</v>
      </c>
      <c r="Q29" s="82" t="str" cm="1">
        <f t="array" ref="Q29">IFERROR(INDEX('Portfolio 3_2'!$O$3:$AK$101,'Portfolio 3_2'!$AP28,15),"")</f>
        <v>12345</v>
      </c>
      <c r="R29" s="82" t="str" cm="1">
        <f t="array" ref="R29">IFERROR(TEXT(INDEX('Portfolio 3_2'!$O$3:$AK$101,'Portfolio 3_2'!$AP28,16),"dd/mm/yyyy"),"")</f>
        <v>07/06/2562</v>
      </c>
      <c r="S29" s="82" t="str" cm="1">
        <f t="array" ref="S29">IFERROR(INDEX('Portfolio 3_2'!$O$3:$AK$101,'Portfolio 3_2'!$AP28,20),"")</f>
        <v>ค่าบริการ</v>
      </c>
      <c r="T29" s="82" cm="1">
        <f t="array" ref="T29">IFERROR(INDEX('Portfolio 3_2'!$O$3:$AK$101,'Portfolio 3_2'!$AP28,17),"")</f>
        <v>3</v>
      </c>
      <c r="U29" s="83" cm="1">
        <f t="array" ref="U29">IFERROR(INDEX('Portfolio 3_2'!$O$3:$AK$101,'Portfolio 3_2'!$AP28,18),"")</f>
        <v>28661</v>
      </c>
      <c r="V29" s="83" cm="1">
        <f t="array" ref="V29">IFERROR(INDEX('Portfolio 3_2'!$O$3:$AK$101,'Portfolio 3_2'!$AP28,19),"")</f>
        <v>859.82999999999993</v>
      </c>
      <c r="W29" s="1" t="str">
        <f t="shared" si="0"/>
        <v>1</v>
      </c>
    </row>
    <row r="30" spans="1:23">
      <c r="A30" s="92">
        <f t="shared" si="1"/>
        <v>27</v>
      </c>
      <c r="B30" s="82" t="str" cm="1">
        <f t="array" ref="B30">IFERROR(INDEX('Portfolio 3_2'!$O$3:$AK$101,'Portfolio 3_2'!$AP29,2),"")</f>
        <v>09110XXX01746</v>
      </c>
      <c r="C30" s="82" t="str" cm="1">
        <f t="array" ref="C30">IFERROR(SUBSTITUTE(INDEX('Portfolio 3_2'!$O$3:$AK$101,'Portfolio 3_2'!$AP29,23),"น.ส.","นางสาว"),"")</f>
        <v>บริษัท</v>
      </c>
      <c r="D30" s="82" t="str" cm="1">
        <f t="array" ref="D30">IFERROR(INDEX('Portfolio 3_2'!$O$3:$AK$101,'Portfolio 3_2'!$AP29,21),"")</f>
        <v>ตัวอย่าง</v>
      </c>
      <c r="E30" s="82" t="str" cm="1">
        <f t="array" ref="E30">IFERROR(INDEX('Portfolio 3_2'!$O$3:$AK$101,'Portfolio 3_2'!$AP29,22),"")</f>
        <v>42 จำกัด</v>
      </c>
      <c r="F30" s="82" t="str" cm="1">
        <f t="array" ref="F30">IFERROR(SUBSTITUTE(INDEX('Portfolio 3_2'!$O$3:$AK$101,'Portfolio 3_2'!$AP29,4),"+"," "),"")</f>
        <v/>
      </c>
      <c r="G30" s="82" t="str" cm="1">
        <f t="array" ref="G30">IFERROR(SUBSTITUTE(INDEX('Portfolio 3_2'!$O$3:$AK$101,'Portfolio 3_2'!$AP29,5),"+"," "),"")</f>
        <v/>
      </c>
      <c r="H30" s="82" t="str" cm="1">
        <f t="array" ref="H30">IFERROR(SUBSTITUTE(INDEX('Portfolio 3_2'!$O$3:$AK$101,'Portfolio 3_2'!$AP29,6),"+"," "),"")</f>
        <v/>
      </c>
      <c r="I30" s="82" t="str" cm="1">
        <f t="array" ref="I30">IFERROR(INDEX('Portfolio 3_2'!$O$3:$AK$101,'Portfolio 3_2'!$AP29,7),"")</f>
        <v>330</v>
      </c>
      <c r="J30" s="82" t="str" cm="1">
        <f t="array" ref="J30">IFERROR(INDEX('Portfolio 3_2'!$O$3:$AK$101,'Portfolio 3_2'!$AP29,8),"")</f>
        <v/>
      </c>
      <c r="K30" s="82" t="str" cm="1">
        <f t="array" ref="K30">IFERROR(SUBSTITUTE(INDEX('Portfolio 3_2'!$O$3:$AK$101,'Portfolio 3_2'!$AP29,9),"+"," "),"")</f>
        <v/>
      </c>
      <c r="L30" s="82" t="str" cm="1">
        <f t="array" ref="L30">IFERROR(SUBSTITUTE(INDEX('Portfolio 3_2'!$O$3:$AK$101,'Portfolio 3_2'!$AP29,12),"+"," "),"")</f>
        <v/>
      </c>
      <c r="M30" s="82" t="str" cm="1">
        <f t="array" ref="M30">IFERROR(SUBSTITUTE(INDEX('Portfolio 3_2'!$O$3:$AK$101,'Portfolio 3_2'!$AP29,10),"+"," "),"")</f>
        <v>เชียงใหม่-ลำปาง</v>
      </c>
      <c r="N30" s="82" t="str" cm="1">
        <f t="array" ref="N30">IFERROR(SUBSTITUTE(INDEX('Portfolio 3_2'!$O$3:$AK$101,'Portfolio 3_2'!$AP29,11),"+"," "),"")</f>
        <v>ป่าตัน</v>
      </c>
      <c r="O30" s="82" t="str" cm="1">
        <f t="array" ref="O30">IFERROR(SUBSTITUTE(INDEX('Portfolio 3_2'!$O$3:$AK$101,'Portfolio 3_2'!$AP29,13),"+"," "),"")</f>
        <v>เมือง</v>
      </c>
      <c r="P30" s="82" t="str" cm="1">
        <f t="array" ref="P30">IFERROR(IF(ISNUMBER(FIND("กรุงเทพ",INDEX('Portfolio 3_2'!$O$3:$AK$101,'Portfolio 3_2'!$AP29,14))),"กรุงเทพมหานคร",INDEX('Portfolio 3_2'!$O$3:$AK$101,'Portfolio 3_2'!$AP29,14)),"")</f>
        <v>เชียงใหม่</v>
      </c>
      <c r="Q30" s="82" t="str" cm="1">
        <f t="array" ref="Q30">IFERROR(INDEX('Portfolio 3_2'!$O$3:$AK$101,'Portfolio 3_2'!$AP29,15),"")</f>
        <v>12345</v>
      </c>
      <c r="R30" s="82" t="str" cm="1">
        <f t="array" ref="R30">IFERROR(TEXT(INDEX('Portfolio 3_2'!$O$3:$AK$101,'Portfolio 3_2'!$AP29,16),"dd/mm/yyyy"),"")</f>
        <v>15/05/2562</v>
      </c>
      <c r="S30" s="82" t="str" cm="1">
        <f t="array" ref="S30">IFERROR(INDEX('Portfolio 3_2'!$O$3:$AK$101,'Portfolio 3_2'!$AP29,20),"")</f>
        <v>ค่าบริการ</v>
      </c>
      <c r="T30" s="82" cm="1">
        <f t="array" ref="T30">IFERROR(INDEX('Portfolio 3_2'!$O$3:$AK$101,'Portfolio 3_2'!$AP29,17),"")</f>
        <v>3</v>
      </c>
      <c r="U30" s="83" cm="1">
        <f t="array" ref="U30">IFERROR(INDEX('Portfolio 3_2'!$O$3:$AK$101,'Portfolio 3_2'!$AP29,18),"")</f>
        <v>24807</v>
      </c>
      <c r="V30" s="83" cm="1">
        <f t="array" ref="V30">IFERROR(INDEX('Portfolio 3_2'!$O$3:$AK$101,'Portfolio 3_2'!$AP29,19),"")</f>
        <v>744.20999999999992</v>
      </c>
      <c r="W30" s="1" t="str">
        <f t="shared" si="0"/>
        <v>1</v>
      </c>
    </row>
    <row r="31" spans="1:23">
      <c r="A31" s="92">
        <f t="shared" si="1"/>
        <v>28</v>
      </c>
      <c r="B31" s="82" t="str" cm="1">
        <f t="array" ref="B31">IFERROR(INDEX('Portfolio 3_2'!$O$3:$AK$101,'Portfolio 3_2'!$AP30,2),"")</f>
        <v>06790XXX02498</v>
      </c>
      <c r="C31" s="82" t="str" cm="1">
        <f t="array" ref="C31">IFERROR(SUBSTITUTE(INDEX('Portfolio 3_2'!$O$3:$AK$101,'Portfolio 3_2'!$AP30,23),"น.ส.","นางสาว"),"")</f>
        <v>บริษัท</v>
      </c>
      <c r="D31" s="82" t="str" cm="1">
        <f t="array" ref="D31">IFERROR(INDEX('Portfolio 3_2'!$O$3:$AK$101,'Portfolio 3_2'!$AP30,21),"")</f>
        <v>ซื้อแล้วรวย</v>
      </c>
      <c r="E31" s="82" t="str" cm="1">
        <f t="array" ref="E31">IFERROR(INDEX('Portfolio 3_2'!$O$3:$AK$101,'Portfolio 3_2'!$AP30,22),"")</f>
        <v>80 จำกัด</v>
      </c>
      <c r="F31" s="82" t="str" cm="1">
        <f t="array" ref="F31">IFERROR(SUBSTITUTE(INDEX('Portfolio 3_2'!$O$3:$AK$101,'Portfolio 3_2'!$AP30,4),"+"," "),"")</f>
        <v/>
      </c>
      <c r="G31" s="82" t="str" cm="1">
        <f t="array" ref="G31">IFERROR(SUBSTITUTE(INDEX('Portfolio 3_2'!$O$3:$AK$101,'Portfolio 3_2'!$AP30,5),"+"," "),"")</f>
        <v/>
      </c>
      <c r="H31" s="82" t="str" cm="1">
        <f t="array" ref="H31">IFERROR(SUBSTITUTE(INDEX('Portfolio 3_2'!$O$3:$AK$101,'Portfolio 3_2'!$AP30,6),"+"," "),"")</f>
        <v/>
      </c>
      <c r="I31" s="82" t="str" cm="1">
        <f t="array" ref="I31">IFERROR(INDEX('Portfolio 3_2'!$O$3:$AK$101,'Portfolio 3_2'!$AP30,7),"")</f>
        <v>36</v>
      </c>
      <c r="J31" s="82" t="str" cm="1">
        <f t="array" ref="J31">IFERROR(INDEX('Portfolio 3_2'!$O$3:$AK$101,'Portfolio 3_2'!$AP30,8),"")</f>
        <v>350</v>
      </c>
      <c r="K31" s="82" t="str" cm="1">
        <f t="array" ref="K31">IFERROR(SUBSTITUTE(INDEX('Portfolio 3_2'!$O$3:$AK$101,'Portfolio 3_2'!$AP30,9),"+"," "),"")</f>
        <v/>
      </c>
      <c r="L31" s="82" t="str" cm="1">
        <f t="array" ref="L31">IFERROR(SUBSTITUTE(INDEX('Portfolio 3_2'!$O$3:$AK$101,'Portfolio 3_2'!$AP30,12),"+"," "),"")</f>
        <v/>
      </c>
      <c r="M31" s="82" t="str" cm="1">
        <f t="array" ref="M31">IFERROR(SUBSTITUTE(INDEX('Portfolio 3_2'!$O$3:$AK$101,'Portfolio 3_2'!$AP30,10),"+"," "),"")</f>
        <v>เชียงใหม่-สันกำแพง</v>
      </c>
      <c r="N31" s="82" t="str" cm="1">
        <f t="array" ref="N31">IFERROR(SUBSTITUTE(INDEX('Portfolio 3_2'!$O$3:$AK$101,'Portfolio 3_2'!$AP30,11),"+"," "),"")</f>
        <v>สันกำแพง</v>
      </c>
      <c r="O31" s="82" t="str" cm="1">
        <f t="array" ref="O31">IFERROR(SUBSTITUTE(INDEX('Portfolio 3_2'!$O$3:$AK$101,'Portfolio 3_2'!$AP30,13),"+"," "),"")</f>
        <v>สันกำแพง</v>
      </c>
      <c r="P31" s="82" t="str" cm="1">
        <f t="array" ref="P31">IFERROR(IF(ISNUMBER(FIND("กรุงเทพ",INDEX('Portfolio 3_2'!$O$3:$AK$101,'Portfolio 3_2'!$AP30,14))),"กรุงเทพมหานคร",INDEX('Portfolio 3_2'!$O$3:$AK$101,'Portfolio 3_2'!$AP30,14)),"")</f>
        <v>เชียงใหม่</v>
      </c>
      <c r="Q31" s="82" t="str" cm="1">
        <f t="array" ref="Q31">IFERROR(INDEX('Portfolio 3_2'!$O$3:$AK$101,'Portfolio 3_2'!$AP30,15),"")</f>
        <v>12345</v>
      </c>
      <c r="R31" s="82" t="str" cm="1">
        <f t="array" ref="R31">IFERROR(TEXT(INDEX('Portfolio 3_2'!$O$3:$AK$101,'Portfolio 3_2'!$AP30,16),"dd/mm/yyyy"),"")</f>
        <v>02/06/2564</v>
      </c>
      <c r="S31" s="82" t="str" cm="1">
        <f t="array" ref="S31">IFERROR(INDEX('Portfolio 3_2'!$O$3:$AK$101,'Portfolio 3_2'!$AP30,20),"")</f>
        <v>ค่าบริการ</v>
      </c>
      <c r="T31" s="82" cm="1">
        <f t="array" ref="T31">IFERROR(INDEX('Portfolio 3_2'!$O$3:$AK$101,'Portfolio 3_2'!$AP30,17),"")</f>
        <v>3</v>
      </c>
      <c r="U31" s="83" cm="1">
        <f t="array" ref="U31">IFERROR(INDEX('Portfolio 3_2'!$O$3:$AK$101,'Portfolio 3_2'!$AP30,18),"")</f>
        <v>16642</v>
      </c>
      <c r="V31" s="83" cm="1">
        <f t="array" ref="V31">IFERROR(INDEX('Portfolio 3_2'!$O$3:$AK$101,'Portfolio 3_2'!$AP30,19),"")</f>
        <v>499.26</v>
      </c>
      <c r="W31" s="1" t="str">
        <f t="shared" si="0"/>
        <v>1</v>
      </c>
    </row>
    <row r="32" spans="1:23">
      <c r="A32" s="92">
        <f t="shared" si="1"/>
        <v>29</v>
      </c>
      <c r="B32" s="82" t="str" cm="1">
        <f t="array" ref="B32">IFERROR(INDEX('Portfolio 3_2'!$O$3:$AK$101,'Portfolio 3_2'!$AP31,2),"")</f>
        <v>03205XXX54130</v>
      </c>
      <c r="C32" s="82" t="str" cm="1">
        <f t="array" ref="C32">IFERROR(SUBSTITUTE(INDEX('Portfolio 3_2'!$O$3:$AK$101,'Portfolio 3_2'!$AP31,23),"น.ส.","นางสาว"),"")</f>
        <v>นาง</v>
      </c>
      <c r="D32" s="82" t="str" cm="1">
        <f t="array" ref="D32">IFERROR(INDEX('Portfolio 3_2'!$O$3:$AK$101,'Portfolio 3_2'!$AP31,21),"")</f>
        <v>ตัวอย่าง</v>
      </c>
      <c r="E32" s="82" t="str" cm="1">
        <f t="array" ref="E32">IFERROR(INDEX('Portfolio 3_2'!$O$3:$AK$101,'Portfolio 3_2'!$AP31,22),"")</f>
        <v>สงเจริญยี่สิบเก้า</v>
      </c>
      <c r="F32" s="82" t="str" cm="1">
        <f t="array" ref="F32">IFERROR(SUBSTITUTE(INDEX('Portfolio 3_2'!$O$3:$AK$101,'Portfolio 3_2'!$AP31,4),"+"," "),"")</f>
        <v/>
      </c>
      <c r="G32" s="82" t="str" cm="1">
        <f t="array" ref="G32">IFERROR(SUBSTITUTE(INDEX('Portfolio 3_2'!$O$3:$AK$101,'Portfolio 3_2'!$AP31,5),"+"," "),"")</f>
        <v/>
      </c>
      <c r="H32" s="82" t="str" cm="1">
        <f t="array" ref="H32">IFERROR(SUBSTITUTE(INDEX('Portfolio 3_2'!$O$3:$AK$101,'Portfolio 3_2'!$AP31,6),"+"," "),"")</f>
        <v/>
      </c>
      <c r="I32" s="82" t="str" cm="1">
        <f t="array" ref="I32">IFERROR(INDEX('Portfolio 3_2'!$O$3:$AK$101,'Portfolio 3_2'!$AP31,7),"")</f>
        <v>3935</v>
      </c>
      <c r="J32" s="82" t="str" cm="1">
        <f t="array" ref="J32">IFERROR(INDEX('Portfolio 3_2'!$O$3:$AK$101,'Portfolio 3_2'!$AP31,8),"")</f>
        <v>35</v>
      </c>
      <c r="K32" s="82" t="str" cm="1">
        <f t="array" ref="K32">IFERROR(SUBSTITUTE(INDEX('Portfolio 3_2'!$O$3:$AK$101,'Portfolio 3_2'!$AP31,9),"+"," "),"")</f>
        <v/>
      </c>
      <c r="L32" s="82" t="str" cm="1">
        <f t="array" ref="L32">IFERROR(SUBSTITUTE(INDEX('Portfolio 3_2'!$O$3:$AK$101,'Portfolio 3_2'!$AP31,12),"+"," "),"")</f>
        <v/>
      </c>
      <c r="M32" s="82" t="str" cm="1">
        <f t="array" ref="M32">IFERROR(SUBSTITUTE(INDEX('Portfolio 3_2'!$O$3:$AK$101,'Portfolio 3_2'!$AP31,10),"+"," "),"")</f>
        <v/>
      </c>
      <c r="N32" s="82" t="str" cm="1">
        <f t="array" ref="N32">IFERROR(SUBSTITUTE(INDEX('Portfolio 3_2'!$O$3:$AK$101,'Portfolio 3_2'!$AP31,11),"+"," "),"")</f>
        <v>นครไทย</v>
      </c>
      <c r="O32" s="82" t="str" cm="1">
        <f t="array" ref="O32">IFERROR(SUBSTITUTE(INDEX('Portfolio 3_2'!$O$3:$AK$101,'Portfolio 3_2'!$AP31,13),"+"," "),"")</f>
        <v>นครไทย</v>
      </c>
      <c r="P32" s="82" t="str" cm="1">
        <f t="array" ref="P32">IFERROR(IF(ISNUMBER(FIND("กรุงเทพ",INDEX('Portfolio 3_2'!$O$3:$AK$101,'Portfolio 3_2'!$AP31,14))),"กรุงเทพมหานคร",INDEX('Portfolio 3_2'!$O$3:$AK$101,'Portfolio 3_2'!$AP31,14)),"")</f>
        <v>พิษณุโลก</v>
      </c>
      <c r="Q32" s="82" t="str" cm="1">
        <f t="array" ref="Q32">IFERROR(INDEX('Portfolio 3_2'!$O$3:$AK$101,'Portfolio 3_2'!$AP31,15),"")</f>
        <v>12345</v>
      </c>
      <c r="R32" s="82" t="str" cm="1">
        <f t="array" ref="R32">IFERROR(TEXT(INDEX('Portfolio 3_2'!$O$3:$AK$101,'Portfolio 3_2'!$AP31,16),"dd/mm/yyyy"),"")</f>
        <v>14/03/2563</v>
      </c>
      <c r="S32" s="82" t="str" cm="1">
        <f t="array" ref="S32">IFERROR(INDEX('Portfolio 3_2'!$O$3:$AK$101,'Portfolio 3_2'!$AP31,20),"")</f>
        <v>ค่าบริการ</v>
      </c>
      <c r="T32" s="82" cm="1">
        <f t="array" ref="T32">IFERROR(INDEX('Portfolio 3_2'!$O$3:$AK$101,'Portfolio 3_2'!$AP31,17),"")</f>
        <v>3</v>
      </c>
      <c r="U32" s="83" cm="1">
        <f t="array" ref="U32">IFERROR(INDEX('Portfolio 3_2'!$O$3:$AK$101,'Portfolio 3_2'!$AP31,18),"")</f>
        <v>12168</v>
      </c>
      <c r="V32" s="83" cm="1">
        <f t="array" ref="V32">IFERROR(INDEX('Portfolio 3_2'!$O$3:$AK$101,'Portfolio 3_2'!$AP31,19),"")</f>
        <v>365.03999999999996</v>
      </c>
      <c r="W32" s="1" t="str">
        <f t="shared" si="0"/>
        <v>1</v>
      </c>
    </row>
    <row r="33" spans="1:23">
      <c r="A33" s="92">
        <f t="shared" si="1"/>
        <v>30</v>
      </c>
      <c r="B33" s="82" t="str" cm="1">
        <f t="array" ref="B33">IFERROR(INDEX('Portfolio 3_2'!$O$3:$AK$101,'Portfolio 3_2'!$AP32,2),"")</f>
        <v>06590XXX34203</v>
      </c>
      <c r="C33" s="82" t="str" cm="1">
        <f t="array" ref="C33">IFERROR(SUBSTITUTE(INDEX('Portfolio 3_2'!$O$3:$AK$101,'Portfolio 3_2'!$AP32,23),"น.ส.","นางสาว"),"")</f>
        <v>บริษัท</v>
      </c>
      <c r="D33" s="82" t="str" cm="1">
        <f t="array" ref="D33">IFERROR(INDEX('Portfolio 3_2'!$O$3:$AK$101,'Portfolio 3_2'!$AP32,21),"")</f>
        <v>พิ่งเปิด</v>
      </c>
      <c r="E33" s="82" t="str" cm="1">
        <f t="array" ref="E33">IFERROR(INDEX('Portfolio 3_2'!$O$3:$AK$101,'Portfolio 3_2'!$AP32,22),"")</f>
        <v>84 จำกัด</v>
      </c>
      <c r="F33" s="82" t="str" cm="1">
        <f t="array" ref="F33">IFERROR(SUBSTITUTE(INDEX('Portfolio 3_2'!$O$3:$AK$101,'Portfolio 3_2'!$AP32,4),"+"," "),"")</f>
        <v/>
      </c>
      <c r="G33" s="82" t="str" cm="1">
        <f t="array" ref="G33">IFERROR(SUBSTITUTE(INDEX('Portfolio 3_2'!$O$3:$AK$101,'Portfolio 3_2'!$AP32,5),"+"," "),"")</f>
        <v/>
      </c>
      <c r="H33" s="82" t="str" cm="1">
        <f t="array" ref="H33">IFERROR(SUBSTITUTE(INDEX('Portfolio 3_2'!$O$3:$AK$101,'Portfolio 3_2'!$AP32,6),"+"," "),"")</f>
        <v/>
      </c>
      <c r="I33" s="82" t="str" cm="1">
        <f t="array" ref="I33">IFERROR(INDEX('Portfolio 3_2'!$O$3:$AK$101,'Portfolio 3_2'!$AP32,7),"")</f>
        <v>3508</v>
      </c>
      <c r="J33" s="82" t="str" cm="1">
        <f t="array" ref="J33">IFERROR(INDEX('Portfolio 3_2'!$O$3:$AK$101,'Portfolio 3_2'!$AP32,8),"")</f>
        <v>7</v>
      </c>
      <c r="K33" s="82" t="str" cm="1">
        <f t="array" ref="K33">IFERROR(SUBSTITUTE(INDEX('Portfolio 3_2'!$O$3:$AK$101,'Portfolio 3_2'!$AP32,9),"+"," "),"")</f>
        <v/>
      </c>
      <c r="L33" s="82" t="str" cm="1">
        <f t="array" ref="L33">IFERROR(SUBSTITUTE(INDEX('Portfolio 3_2'!$O$3:$AK$101,'Portfolio 3_2'!$AP32,12),"+"," "),"")</f>
        <v/>
      </c>
      <c r="M33" s="82" t="str" cm="1">
        <f t="array" ref="M33">IFERROR(SUBSTITUTE(INDEX('Portfolio 3_2'!$O$3:$AK$101,'Portfolio 3_2'!$AP32,10),"+"," "),"")</f>
        <v/>
      </c>
      <c r="N33" s="82" t="str" cm="1">
        <f t="array" ref="N33">IFERROR(SUBSTITUTE(INDEX('Portfolio 3_2'!$O$3:$AK$101,'Portfolio 3_2'!$AP32,11),"+"," "),"")</f>
        <v>กลางดง</v>
      </c>
      <c r="O33" s="82" t="str" cm="1">
        <f t="array" ref="O33">IFERROR(SUBSTITUTE(INDEX('Portfolio 3_2'!$O$3:$AK$101,'Portfolio 3_2'!$AP32,13),"+"," "),"")</f>
        <v>ทุ่งเสลี่ยม</v>
      </c>
      <c r="P33" s="82" t="str" cm="1">
        <f t="array" ref="P33">IFERROR(IF(ISNUMBER(FIND("กรุงเทพ",INDEX('Portfolio 3_2'!$O$3:$AK$101,'Portfolio 3_2'!$AP32,14))),"กรุงเทพมหานคร",INDEX('Portfolio 3_2'!$O$3:$AK$101,'Portfolio 3_2'!$AP32,14)),"")</f>
        <v>สุโขทัย</v>
      </c>
      <c r="Q33" s="82" t="str" cm="1">
        <f t="array" ref="Q33">IFERROR(INDEX('Portfolio 3_2'!$O$3:$AK$101,'Portfolio 3_2'!$AP32,15),"")</f>
        <v>12345</v>
      </c>
      <c r="R33" s="82" t="str" cm="1">
        <f t="array" ref="R33">IFERROR(TEXT(INDEX('Portfolio 3_2'!$O$3:$AK$101,'Portfolio 3_2'!$AP32,16),"dd/mm/yyyy"),"")</f>
        <v>08/04/2564</v>
      </c>
      <c r="S33" s="82" t="str" cm="1">
        <f t="array" ref="S33">IFERROR(INDEX('Portfolio 3_2'!$O$3:$AK$101,'Portfolio 3_2'!$AP32,20),"")</f>
        <v>ค่าบริการ</v>
      </c>
      <c r="T33" s="82" cm="1">
        <f t="array" ref="T33">IFERROR(INDEX('Portfolio 3_2'!$O$3:$AK$101,'Portfolio 3_2'!$AP32,17),"")</f>
        <v>3</v>
      </c>
      <c r="U33" s="83" cm="1">
        <f t="array" ref="U33">IFERROR(INDEX('Portfolio 3_2'!$O$3:$AK$101,'Portfolio 3_2'!$AP32,18),"")</f>
        <v>15898</v>
      </c>
      <c r="V33" s="83" cm="1">
        <f t="array" ref="V33">IFERROR(INDEX('Portfolio 3_2'!$O$3:$AK$101,'Portfolio 3_2'!$AP32,19),"")</f>
        <v>476.94</v>
      </c>
      <c r="W33" s="1" t="str">
        <f t="shared" si="0"/>
        <v>1</v>
      </c>
    </row>
    <row r="34" spans="1:23">
      <c r="A34" s="92">
        <f t="shared" si="1"/>
        <v>31</v>
      </c>
      <c r="B34" s="82" t="str" cm="1">
        <f t="array" ref="B34">IFERROR(INDEX('Portfolio 3_2'!$O$3:$AK$101,'Portfolio 3_2'!$AP33,2),"")</f>
        <v>02420XXX57354</v>
      </c>
      <c r="C34" s="82" t="str" cm="1">
        <f t="array" ref="C34">IFERROR(SUBSTITUTE(INDEX('Portfolio 3_2'!$O$3:$AK$101,'Portfolio 3_2'!$AP33,23),"น.ส.","นางสาว"),"")</f>
        <v>บริษัท</v>
      </c>
      <c r="D34" s="82" t="str" cm="1">
        <f t="array" ref="D34">IFERROR(INDEX('Portfolio 3_2'!$O$3:$AK$101,'Portfolio 3_2'!$AP33,21),"")</f>
        <v>ตัวอย่าง</v>
      </c>
      <c r="E34" s="82" t="str" cm="1">
        <f t="array" ref="E34">IFERROR(INDEX('Portfolio 3_2'!$O$3:$AK$101,'Portfolio 3_2'!$AP33,22),"")</f>
        <v>70 จำกัด</v>
      </c>
      <c r="F34" s="82" t="str" cm="1">
        <f t="array" ref="F34">IFERROR(SUBSTITUTE(INDEX('Portfolio 3_2'!$O$3:$AK$101,'Portfolio 3_2'!$AP33,4),"+"," "),"")</f>
        <v/>
      </c>
      <c r="G34" s="82" t="str" cm="1">
        <f t="array" ref="G34">IFERROR(SUBSTITUTE(INDEX('Portfolio 3_2'!$O$3:$AK$101,'Portfolio 3_2'!$AP33,5),"+"," "),"")</f>
        <v/>
      </c>
      <c r="H34" s="82" t="str" cm="1">
        <f t="array" ref="H34">IFERROR(SUBSTITUTE(INDEX('Portfolio 3_2'!$O$3:$AK$101,'Portfolio 3_2'!$AP33,6),"+"," "),"")</f>
        <v/>
      </c>
      <c r="I34" s="82" t="str" cm="1">
        <f t="array" ref="I34">IFERROR(INDEX('Portfolio 3_2'!$O$3:$AK$101,'Portfolio 3_2'!$AP33,7),"")</f>
        <v>353520</v>
      </c>
      <c r="J34" s="82" t="str" cm="1">
        <f t="array" ref="J34">IFERROR(INDEX('Portfolio 3_2'!$O$3:$AK$101,'Portfolio 3_2'!$AP33,8),"")</f>
        <v>35</v>
      </c>
      <c r="K34" s="82" t="str" cm="1">
        <f t="array" ref="K34">IFERROR(SUBSTITUTE(INDEX('Portfolio 3_2'!$O$3:$AK$101,'Portfolio 3_2'!$AP33,9),"+"," "),"")</f>
        <v/>
      </c>
      <c r="L34" s="82" t="str" cm="1">
        <f t="array" ref="L34">IFERROR(SUBSTITUTE(INDEX('Portfolio 3_2'!$O$3:$AK$101,'Portfolio 3_2'!$AP33,12),"+"," "),"")</f>
        <v/>
      </c>
      <c r="M34" s="82" t="str" cm="1">
        <f t="array" ref="M34">IFERROR(SUBSTITUTE(INDEX('Portfolio 3_2'!$O$3:$AK$101,'Portfolio 3_2'!$AP33,10),"+"," "),"")</f>
        <v>ไกรสรสิทธิ์</v>
      </c>
      <c r="N34" s="82" t="str" cm="1">
        <f t="array" ref="N34">IFERROR(SUBSTITUTE(INDEX('Portfolio 3_2'!$O$3:$AK$101,'Portfolio 3_2'!$AP33,11),"+"," "),"")</f>
        <v>เวียง</v>
      </c>
      <c r="O34" s="82" t="str" cm="1">
        <f t="array" ref="O34">IFERROR(SUBSTITUTE(INDEX('Portfolio 3_2'!$O$3:$AK$101,'Portfolio 3_2'!$AP33,13),"+"," "),"")</f>
        <v>เมือง</v>
      </c>
      <c r="P34" s="82" t="str" cm="1">
        <f t="array" ref="P34">IFERROR(IF(ISNUMBER(FIND("กรุงเทพ",INDEX('Portfolio 3_2'!$O$3:$AK$101,'Portfolio 3_2'!$AP33,14))),"กรุงเทพมหานคร",INDEX('Portfolio 3_2'!$O$3:$AK$101,'Portfolio 3_2'!$AP33,14)),"")</f>
        <v>เชียงราย</v>
      </c>
      <c r="Q34" s="82" t="str" cm="1">
        <f t="array" ref="Q34">IFERROR(INDEX('Portfolio 3_2'!$O$3:$AK$101,'Portfolio 3_2'!$AP33,15),"")</f>
        <v>12345</v>
      </c>
      <c r="R34" s="82" t="str" cm="1">
        <f t="array" ref="R34">IFERROR(TEXT(INDEX('Portfolio 3_2'!$O$3:$AK$101,'Portfolio 3_2'!$AP33,16),"dd/mm/yyyy"),"")</f>
        <v>05/12/2563</v>
      </c>
      <c r="S34" s="82" t="str" cm="1">
        <f t="array" ref="S34">IFERROR(INDEX('Portfolio 3_2'!$O$3:$AK$101,'Portfolio 3_2'!$AP33,20),"")</f>
        <v>ค่าบริการ</v>
      </c>
      <c r="T34" s="82" cm="1">
        <f t="array" ref="T34">IFERROR(INDEX('Portfolio 3_2'!$O$3:$AK$101,'Portfolio 3_2'!$AP33,17),"")</f>
        <v>3</v>
      </c>
      <c r="U34" s="83" cm="1">
        <f t="array" ref="U34">IFERROR(INDEX('Portfolio 3_2'!$O$3:$AK$101,'Portfolio 3_2'!$AP33,18),"")</f>
        <v>11895</v>
      </c>
      <c r="V34" s="83" cm="1">
        <f t="array" ref="V34">IFERROR(INDEX('Portfolio 3_2'!$O$3:$AK$101,'Portfolio 3_2'!$AP33,19),"")</f>
        <v>356.84999999999997</v>
      </c>
      <c r="W34" s="1" t="str">
        <f t="shared" si="0"/>
        <v>1</v>
      </c>
    </row>
    <row r="35" spans="1:23">
      <c r="A35" s="92">
        <f t="shared" si="1"/>
        <v>32</v>
      </c>
      <c r="B35" s="82" t="str" cm="1">
        <f t="array" ref="B35">IFERROR(INDEX('Portfolio 3_2'!$O$3:$AK$101,'Portfolio 3_2'!$AP34,2),"")</f>
        <v>09347XXX35049</v>
      </c>
      <c r="C35" s="82" t="str" cm="1">
        <f t="array" ref="C35">IFERROR(SUBSTITUTE(INDEX('Portfolio 3_2'!$O$3:$AK$101,'Portfolio 3_2'!$AP34,23),"น.ส.","นางสาว"),"")</f>
        <v>นาย</v>
      </c>
      <c r="D35" s="82" t="str" cm="1">
        <f t="array" ref="D35">IFERROR(INDEX('Portfolio 3_2'!$O$3:$AK$101,'Portfolio 3_2'!$AP34,21),"")</f>
        <v>พิ่งเปิด</v>
      </c>
      <c r="E35" s="82" t="str" cm="1">
        <f t="array" ref="E35">IFERROR(INDEX('Portfolio 3_2'!$O$3:$AK$101,'Portfolio 3_2'!$AP34,22),"")</f>
        <v>มาคงสัยสามสิบเจ็ด</v>
      </c>
      <c r="F35" s="82" t="str" cm="1">
        <f t="array" ref="F35">IFERROR(SUBSTITUTE(INDEX('Portfolio 3_2'!$O$3:$AK$101,'Portfolio 3_2'!$AP34,4),"+"," "),"")</f>
        <v/>
      </c>
      <c r="G35" s="82" t="str" cm="1">
        <f t="array" ref="G35">IFERROR(SUBSTITUTE(INDEX('Portfolio 3_2'!$O$3:$AK$101,'Portfolio 3_2'!$AP34,5),"+"," "),"")</f>
        <v/>
      </c>
      <c r="H35" s="82" t="str" cm="1">
        <f t="array" ref="H35">IFERROR(SUBSTITUTE(INDEX('Portfolio 3_2'!$O$3:$AK$101,'Portfolio 3_2'!$AP34,6),"+"," "),"")</f>
        <v/>
      </c>
      <c r="I35" s="82" t="str" cm="1">
        <f t="array" ref="I35">IFERROR(INDEX('Portfolio 3_2'!$O$3:$AK$101,'Portfolio 3_2'!$AP34,7),"")</f>
        <v>35356</v>
      </c>
      <c r="J35" s="82" t="str" cm="1">
        <f t="array" ref="J35">IFERROR(INDEX('Portfolio 3_2'!$O$3:$AK$101,'Portfolio 3_2'!$AP34,8),"")</f>
        <v>5</v>
      </c>
      <c r="K35" s="82" t="str" cm="1">
        <f t="array" ref="K35">IFERROR(SUBSTITUTE(INDEX('Portfolio 3_2'!$O$3:$AK$101,'Portfolio 3_2'!$AP34,9),"+"," "),"")</f>
        <v/>
      </c>
      <c r="L35" s="82" t="str" cm="1">
        <f t="array" ref="L35">IFERROR(SUBSTITUTE(INDEX('Portfolio 3_2'!$O$3:$AK$101,'Portfolio 3_2'!$AP34,12),"+"," "),"")</f>
        <v/>
      </c>
      <c r="M35" s="82" t="str" cm="1">
        <f t="array" ref="M35">IFERROR(SUBSTITUTE(INDEX('Portfolio 3_2'!$O$3:$AK$101,'Portfolio 3_2'!$AP34,10),"+"," "),"")</f>
        <v/>
      </c>
      <c r="N35" s="82" t="str" cm="1">
        <f t="array" ref="N35">IFERROR(SUBSTITUTE(INDEX('Portfolio 3_2'!$O$3:$AK$101,'Portfolio 3_2'!$AP34,11),"+"," "),"")</f>
        <v>หนองฉาง</v>
      </c>
      <c r="O35" s="82" t="str" cm="1">
        <f t="array" ref="O35">IFERROR(SUBSTITUTE(INDEX('Portfolio 3_2'!$O$3:$AK$101,'Portfolio 3_2'!$AP34,13),"+"," "),"")</f>
        <v>หนองฉาง</v>
      </c>
      <c r="P35" s="82" t="str" cm="1">
        <f t="array" ref="P35">IFERROR(IF(ISNUMBER(FIND("กรุงเทพ",INDEX('Portfolio 3_2'!$O$3:$AK$101,'Portfolio 3_2'!$AP34,14))),"กรุงเทพมหานคร",INDEX('Portfolio 3_2'!$O$3:$AK$101,'Portfolio 3_2'!$AP34,14)),"")</f>
        <v>อุทัยธานี</v>
      </c>
      <c r="Q35" s="82" t="str" cm="1">
        <f t="array" ref="Q35">IFERROR(INDEX('Portfolio 3_2'!$O$3:$AK$101,'Portfolio 3_2'!$AP34,15),"")</f>
        <v>12345</v>
      </c>
      <c r="R35" s="82" t="str" cm="1">
        <f t="array" ref="R35">IFERROR(TEXT(INDEX('Portfolio 3_2'!$O$3:$AK$101,'Portfolio 3_2'!$AP34,16),"dd/mm/yyyy"),"")</f>
        <v>22/11/2562</v>
      </c>
      <c r="S35" s="82" t="str" cm="1">
        <f t="array" ref="S35">IFERROR(INDEX('Portfolio 3_2'!$O$3:$AK$101,'Portfolio 3_2'!$AP34,20),"")</f>
        <v>ค่าบริการ</v>
      </c>
      <c r="T35" s="82" cm="1">
        <f t="array" ref="T35">IFERROR(INDEX('Portfolio 3_2'!$O$3:$AK$101,'Portfolio 3_2'!$AP34,17),"")</f>
        <v>3</v>
      </c>
      <c r="U35" s="83" cm="1">
        <f t="array" ref="U35">IFERROR(INDEX('Portfolio 3_2'!$O$3:$AK$101,'Portfolio 3_2'!$AP34,18),"")</f>
        <v>27522</v>
      </c>
      <c r="V35" s="83" cm="1">
        <f t="array" ref="V35">IFERROR(INDEX('Portfolio 3_2'!$O$3:$AK$101,'Portfolio 3_2'!$AP34,19),"")</f>
        <v>825.66</v>
      </c>
      <c r="W35" s="1" t="str">
        <f t="shared" si="0"/>
        <v>1</v>
      </c>
    </row>
    <row r="36" spans="1:23">
      <c r="A36" s="92" t="str">
        <f t="shared" si="1"/>
        <v/>
      </c>
      <c r="B36" s="82" t="str" cm="1">
        <f t="array" ref="B36">IFERROR(INDEX('Portfolio 3_2'!$O$3:$AK$101,'Portfolio 3_2'!$AP35,2),"")</f>
        <v/>
      </c>
      <c r="C36" s="82" t="str" cm="1">
        <f t="array" ref="C36">IFERROR(SUBSTITUTE(INDEX('Portfolio 3_2'!$O$3:$AK$101,'Portfolio 3_2'!$AP35,23),"น.ส.","นางสาว"),"")</f>
        <v/>
      </c>
      <c r="D36" s="82" t="str" cm="1">
        <f t="array" ref="D36">IFERROR(INDEX('Portfolio 3_2'!$O$3:$AK$101,'Portfolio 3_2'!$AP35,21),"")</f>
        <v/>
      </c>
      <c r="E36" s="82" t="str" cm="1">
        <f t="array" ref="E36">IFERROR(INDEX('Portfolio 3_2'!$O$3:$AK$101,'Portfolio 3_2'!$AP35,22),"")</f>
        <v/>
      </c>
      <c r="F36" s="82" t="str" cm="1">
        <f t="array" ref="F36">IFERROR(SUBSTITUTE(INDEX('Portfolio 3_2'!$O$3:$AK$101,'Portfolio 3_2'!$AP35,4),"+"," "),"")</f>
        <v/>
      </c>
      <c r="G36" s="82" t="str" cm="1">
        <f t="array" ref="G36">IFERROR(SUBSTITUTE(INDEX('Portfolio 3_2'!$O$3:$AK$101,'Portfolio 3_2'!$AP35,5),"+"," "),"")</f>
        <v/>
      </c>
      <c r="H36" s="82" t="str" cm="1">
        <f t="array" ref="H36">IFERROR(SUBSTITUTE(INDEX('Portfolio 3_2'!$O$3:$AK$101,'Portfolio 3_2'!$AP35,6),"+"," "),"")</f>
        <v/>
      </c>
      <c r="I36" s="82" t="str" cm="1">
        <f t="array" ref="I36">IFERROR(INDEX('Portfolio 3_2'!$O$3:$AK$101,'Portfolio 3_2'!$AP35,7),"")</f>
        <v/>
      </c>
      <c r="J36" s="82" t="str" cm="1">
        <f t="array" ref="J36">IFERROR(INDEX('Portfolio 3_2'!$O$3:$AK$101,'Portfolio 3_2'!$AP35,8),"")</f>
        <v/>
      </c>
      <c r="K36" s="82" t="str" cm="1">
        <f t="array" ref="K36">IFERROR(SUBSTITUTE(INDEX('Portfolio 3_2'!$O$3:$AK$101,'Portfolio 3_2'!$AP35,9),"+"," "),"")</f>
        <v/>
      </c>
      <c r="L36" s="82" t="str" cm="1">
        <f t="array" ref="L36">IFERROR(SUBSTITUTE(INDEX('Portfolio 3_2'!$O$3:$AK$101,'Portfolio 3_2'!$AP35,12),"+"," "),"")</f>
        <v/>
      </c>
      <c r="M36" s="82" t="str" cm="1">
        <f t="array" ref="M36">IFERROR(SUBSTITUTE(INDEX('Portfolio 3_2'!$O$3:$AK$101,'Portfolio 3_2'!$AP35,10),"+"," "),"")</f>
        <v/>
      </c>
      <c r="N36" s="82" t="str" cm="1">
        <f t="array" ref="N36">IFERROR(SUBSTITUTE(INDEX('Portfolio 3_2'!$O$3:$AK$101,'Portfolio 3_2'!$AP35,11),"+"," "),"")</f>
        <v/>
      </c>
      <c r="O36" s="82" t="str" cm="1">
        <f t="array" ref="O36">IFERROR(SUBSTITUTE(INDEX('Portfolio 3_2'!$O$3:$AK$101,'Portfolio 3_2'!$AP35,13),"+"," "),"")</f>
        <v/>
      </c>
      <c r="P36" s="82" t="str" cm="1">
        <f t="array" ref="P36">IFERROR(IF(ISNUMBER(FIND("กรุงเทพ",INDEX('Portfolio 3_2'!$O$3:$AK$101,'Portfolio 3_2'!$AP35,14))),"กรุงเทพมหานคร",INDEX('Portfolio 3_2'!$O$3:$AK$101,'Portfolio 3_2'!$AP35,14)),"")</f>
        <v/>
      </c>
      <c r="Q36" s="82" t="str" cm="1">
        <f t="array" ref="Q36">IFERROR(INDEX('Portfolio 3_2'!$O$3:$AK$101,'Portfolio 3_2'!$AP35,15),"")</f>
        <v/>
      </c>
      <c r="R36" s="82" t="str" cm="1">
        <f t="array" ref="R36">IFERROR(TEXT(INDEX('Portfolio 3_2'!$O$3:$AK$101,'Portfolio 3_2'!$AP35,16),"dd/mm/yyyy"),"")</f>
        <v/>
      </c>
      <c r="S36" s="82" t="str" cm="1">
        <f t="array" ref="S36">IFERROR(INDEX('Portfolio 3_2'!$O$3:$AK$101,'Portfolio 3_2'!$AP35,20),"")</f>
        <v/>
      </c>
      <c r="T36" s="82" t="str" cm="1">
        <f t="array" ref="T36">IFERROR(INDEX('Portfolio 3_2'!$O$3:$AK$101,'Portfolio 3_2'!$AP35,17),"")</f>
        <v/>
      </c>
      <c r="U36" s="83" t="str" cm="1">
        <f t="array" ref="U36">IFERROR(INDEX('Portfolio 3_2'!$O$3:$AK$101,'Portfolio 3_2'!$AP35,18),"")</f>
        <v/>
      </c>
      <c r="V36" s="83" t="str" cm="1">
        <f t="array" ref="V36">IFERROR(INDEX('Portfolio 3_2'!$O$3:$AK$101,'Portfolio 3_2'!$AP35,19),"")</f>
        <v/>
      </c>
      <c r="W36" s="1" t="str">
        <f t="shared" ref="W36:W67" si="2">IFERROR(IF(A36&lt;&gt;"","1",""),"")</f>
        <v/>
      </c>
    </row>
    <row r="37" spans="1:23">
      <c r="A37" s="92" t="str">
        <f t="shared" ref="A37:A62" si="3">IF(B37="","",A36+1)</f>
        <v/>
      </c>
      <c r="B37" s="82" t="str" cm="1">
        <f t="array" ref="B37">IFERROR(INDEX('Portfolio 3_2'!$O$3:$AK$101,'Portfolio 3_2'!$AP36,2),"")</f>
        <v/>
      </c>
      <c r="C37" s="82" t="str" cm="1">
        <f t="array" ref="C37">IFERROR(SUBSTITUTE(INDEX('Portfolio 3_2'!$O$3:$AK$101,'Portfolio 3_2'!$AP36,23),"น.ส.","นางสาว"),"")</f>
        <v/>
      </c>
      <c r="D37" s="82" t="str" cm="1">
        <f t="array" ref="D37">IFERROR(INDEX('Portfolio 3_2'!$O$3:$AK$101,'Portfolio 3_2'!$AP36,21),"")</f>
        <v/>
      </c>
      <c r="E37" s="82" t="str" cm="1">
        <f t="array" ref="E37">IFERROR(INDEX('Portfolio 3_2'!$O$3:$AK$101,'Portfolio 3_2'!$AP36,22),"")</f>
        <v/>
      </c>
      <c r="F37" s="82" t="str" cm="1">
        <f t="array" ref="F37">IFERROR(SUBSTITUTE(INDEX('Portfolio 3_2'!$O$3:$AK$101,'Portfolio 3_2'!$AP36,4),"+"," "),"")</f>
        <v/>
      </c>
      <c r="G37" s="82" t="str" cm="1">
        <f t="array" ref="G37">IFERROR(SUBSTITUTE(INDEX('Portfolio 3_2'!$O$3:$AK$101,'Portfolio 3_2'!$AP36,5),"+"," "),"")</f>
        <v/>
      </c>
      <c r="H37" s="82" t="str" cm="1">
        <f t="array" ref="H37">IFERROR(SUBSTITUTE(INDEX('Portfolio 3_2'!$O$3:$AK$101,'Portfolio 3_2'!$AP36,6),"+"," "),"")</f>
        <v/>
      </c>
      <c r="I37" s="82" t="str" cm="1">
        <f t="array" ref="I37">IFERROR(INDEX('Portfolio 3_2'!$O$3:$AK$101,'Portfolio 3_2'!$AP36,7),"")</f>
        <v/>
      </c>
      <c r="J37" s="82" t="str" cm="1">
        <f t="array" ref="J37">IFERROR(INDEX('Portfolio 3_2'!$O$3:$AK$101,'Portfolio 3_2'!$AP36,8),"")</f>
        <v/>
      </c>
      <c r="K37" s="82" t="str" cm="1">
        <f t="array" ref="K37">IFERROR(SUBSTITUTE(INDEX('Portfolio 3_2'!$O$3:$AK$101,'Portfolio 3_2'!$AP36,9),"+"," "),"")</f>
        <v/>
      </c>
      <c r="L37" s="82" t="str" cm="1">
        <f t="array" ref="L37">IFERROR(SUBSTITUTE(INDEX('Portfolio 3_2'!$O$3:$AK$101,'Portfolio 3_2'!$AP36,12),"+"," "),"")</f>
        <v/>
      </c>
      <c r="M37" s="82" t="str" cm="1">
        <f t="array" ref="M37">IFERROR(SUBSTITUTE(INDEX('Portfolio 3_2'!$O$3:$AK$101,'Portfolio 3_2'!$AP36,10),"+"," "),"")</f>
        <v/>
      </c>
      <c r="N37" s="82" t="str" cm="1">
        <f t="array" ref="N37">IFERROR(SUBSTITUTE(INDEX('Portfolio 3_2'!$O$3:$AK$101,'Portfolio 3_2'!$AP36,11),"+"," "),"")</f>
        <v/>
      </c>
      <c r="O37" s="82" t="str" cm="1">
        <f t="array" ref="O37">IFERROR(SUBSTITUTE(INDEX('Portfolio 3_2'!$O$3:$AK$101,'Portfolio 3_2'!$AP36,13),"+"," "),"")</f>
        <v/>
      </c>
      <c r="P37" s="82" t="str" cm="1">
        <f t="array" ref="P37">IFERROR(IF(ISNUMBER(FIND("กรุงเทพ",INDEX('Portfolio 3_2'!$O$3:$AK$101,'Portfolio 3_2'!$AP36,14))),"กรุงเทพมหานคร",INDEX('Portfolio 3_2'!$O$3:$AK$101,'Portfolio 3_2'!$AP36,14)),"")</f>
        <v/>
      </c>
      <c r="Q37" s="82" t="str" cm="1">
        <f t="array" ref="Q37">IFERROR(INDEX('Portfolio 3_2'!$O$3:$AK$101,'Portfolio 3_2'!$AP36,15),"")</f>
        <v/>
      </c>
      <c r="R37" s="82" t="str" cm="1">
        <f t="array" ref="R37">IFERROR(TEXT(INDEX('Portfolio 3_2'!$O$3:$AK$101,'Portfolio 3_2'!$AP36,16),"dd/mm/yyyy"),"")</f>
        <v/>
      </c>
      <c r="S37" s="82" t="str" cm="1">
        <f t="array" ref="S37">IFERROR(INDEX('Portfolio 3_2'!$O$3:$AK$101,'Portfolio 3_2'!$AP36,20),"")</f>
        <v/>
      </c>
      <c r="T37" s="82" t="str" cm="1">
        <f t="array" ref="T37">IFERROR(INDEX('Portfolio 3_2'!$O$3:$AK$101,'Portfolio 3_2'!$AP36,17),"")</f>
        <v/>
      </c>
      <c r="U37" s="83" t="str" cm="1">
        <f t="array" ref="U37">IFERROR(INDEX('Portfolio 3_2'!$O$3:$AK$101,'Portfolio 3_2'!$AP36,18),"")</f>
        <v/>
      </c>
      <c r="V37" s="83" t="str" cm="1">
        <f t="array" ref="V37">IFERROR(INDEX('Portfolio 3_2'!$O$3:$AK$101,'Portfolio 3_2'!$AP36,19),"")</f>
        <v/>
      </c>
      <c r="W37" s="1" t="str">
        <f t="shared" si="2"/>
        <v/>
      </c>
    </row>
    <row r="38" spans="1:23">
      <c r="A38" s="92" t="str">
        <f t="shared" si="3"/>
        <v/>
      </c>
      <c r="B38" s="82" t="str" cm="1">
        <f t="array" ref="B38">IFERROR(INDEX('Portfolio 3_2'!$O$3:$AK$101,'Portfolio 3_2'!$AP37,2),"")</f>
        <v/>
      </c>
      <c r="C38" s="82" t="str" cm="1">
        <f t="array" ref="C38">IFERROR(SUBSTITUTE(INDEX('Portfolio 3_2'!$O$3:$AK$101,'Portfolio 3_2'!$AP37,23),"น.ส.","นางสาว"),"")</f>
        <v/>
      </c>
      <c r="D38" s="82" t="str" cm="1">
        <f t="array" ref="D38">IFERROR(INDEX('Portfolio 3_2'!$O$3:$AK$101,'Portfolio 3_2'!$AP37,21),"")</f>
        <v/>
      </c>
      <c r="E38" s="82" t="str" cm="1">
        <f t="array" ref="E38">IFERROR(INDEX('Portfolio 3_2'!$O$3:$AK$101,'Portfolio 3_2'!$AP37,22),"")</f>
        <v/>
      </c>
      <c r="F38" s="82" t="str" cm="1">
        <f t="array" ref="F38">IFERROR(SUBSTITUTE(INDEX('Portfolio 3_2'!$O$3:$AK$101,'Portfolio 3_2'!$AP37,4),"+"," "),"")</f>
        <v/>
      </c>
      <c r="G38" s="82" t="str" cm="1">
        <f t="array" ref="G38">IFERROR(SUBSTITUTE(INDEX('Portfolio 3_2'!$O$3:$AK$101,'Portfolio 3_2'!$AP37,5),"+"," "),"")</f>
        <v/>
      </c>
      <c r="H38" s="82" t="str" cm="1">
        <f t="array" ref="H38">IFERROR(SUBSTITUTE(INDEX('Portfolio 3_2'!$O$3:$AK$101,'Portfolio 3_2'!$AP37,6),"+"," "),"")</f>
        <v/>
      </c>
      <c r="I38" s="82" t="str" cm="1">
        <f t="array" ref="I38">IFERROR(INDEX('Portfolio 3_2'!$O$3:$AK$101,'Portfolio 3_2'!$AP37,7),"")</f>
        <v/>
      </c>
      <c r="J38" s="82" t="str" cm="1">
        <f t="array" ref="J38">IFERROR(INDEX('Portfolio 3_2'!$O$3:$AK$101,'Portfolio 3_2'!$AP37,8),"")</f>
        <v/>
      </c>
      <c r="K38" s="82" t="str" cm="1">
        <f t="array" ref="K38">IFERROR(SUBSTITUTE(INDEX('Portfolio 3_2'!$O$3:$AK$101,'Portfolio 3_2'!$AP37,9),"+"," "),"")</f>
        <v/>
      </c>
      <c r="L38" s="82" t="str" cm="1">
        <f t="array" ref="L38">IFERROR(SUBSTITUTE(INDEX('Portfolio 3_2'!$O$3:$AK$101,'Portfolio 3_2'!$AP37,12),"+"," "),"")</f>
        <v/>
      </c>
      <c r="M38" s="82" t="str" cm="1">
        <f t="array" ref="M38">IFERROR(SUBSTITUTE(INDEX('Portfolio 3_2'!$O$3:$AK$101,'Portfolio 3_2'!$AP37,10),"+"," "),"")</f>
        <v/>
      </c>
      <c r="N38" s="82" t="str" cm="1">
        <f t="array" ref="N38">IFERROR(SUBSTITUTE(INDEX('Portfolio 3_2'!$O$3:$AK$101,'Portfolio 3_2'!$AP37,11),"+"," "),"")</f>
        <v/>
      </c>
      <c r="O38" s="82" t="str" cm="1">
        <f t="array" ref="O38">IFERROR(SUBSTITUTE(INDEX('Portfolio 3_2'!$O$3:$AK$101,'Portfolio 3_2'!$AP37,13),"+"," "),"")</f>
        <v/>
      </c>
      <c r="P38" s="82" t="str" cm="1">
        <f t="array" ref="P38">IFERROR(IF(ISNUMBER(FIND("กรุงเทพ",INDEX('Portfolio 3_2'!$O$3:$AK$101,'Portfolio 3_2'!$AP37,14))),"กรุงเทพมหานคร",INDEX('Portfolio 3_2'!$O$3:$AK$101,'Portfolio 3_2'!$AP37,14)),"")</f>
        <v/>
      </c>
      <c r="Q38" s="82" t="str" cm="1">
        <f t="array" ref="Q38">IFERROR(INDEX('Portfolio 3_2'!$O$3:$AK$101,'Portfolio 3_2'!$AP37,15),"")</f>
        <v/>
      </c>
      <c r="R38" s="82" t="str" cm="1">
        <f t="array" ref="R38">IFERROR(TEXT(INDEX('Portfolio 3_2'!$O$3:$AK$101,'Portfolio 3_2'!$AP37,16),"dd/mm/yyyy"),"")</f>
        <v/>
      </c>
      <c r="S38" s="82" t="str" cm="1">
        <f t="array" ref="S38">IFERROR(INDEX('Portfolio 3_2'!$O$3:$AK$101,'Portfolio 3_2'!$AP37,20),"")</f>
        <v/>
      </c>
      <c r="T38" s="82" t="str" cm="1">
        <f t="array" ref="T38">IFERROR(INDEX('Portfolio 3_2'!$O$3:$AK$101,'Portfolio 3_2'!$AP37,17),"")</f>
        <v/>
      </c>
      <c r="U38" s="83" t="str" cm="1">
        <f t="array" ref="U38">IFERROR(INDEX('Portfolio 3_2'!$O$3:$AK$101,'Portfolio 3_2'!$AP37,18),"")</f>
        <v/>
      </c>
      <c r="V38" s="83" t="str" cm="1">
        <f t="array" ref="V38">IFERROR(INDEX('Portfolio 3_2'!$O$3:$AK$101,'Portfolio 3_2'!$AP37,19),"")</f>
        <v/>
      </c>
      <c r="W38" s="1" t="str">
        <f t="shared" si="2"/>
        <v/>
      </c>
    </row>
    <row r="39" spans="1:23">
      <c r="A39" s="92" t="str">
        <f t="shared" si="3"/>
        <v/>
      </c>
      <c r="B39" s="82" t="str" cm="1">
        <f t="array" ref="B39">IFERROR(INDEX('Portfolio 3_2'!$O$3:$AK$101,'Portfolio 3_2'!$AP38,2),"")</f>
        <v/>
      </c>
      <c r="C39" s="82" t="str" cm="1">
        <f t="array" ref="C39">IFERROR(SUBSTITUTE(INDEX('Portfolio 3_2'!$O$3:$AK$101,'Portfolio 3_2'!$AP38,23),"น.ส.","นางสาว"),"")</f>
        <v/>
      </c>
      <c r="D39" s="82" t="str" cm="1">
        <f t="array" ref="D39">IFERROR(INDEX('Portfolio 3_2'!$O$3:$AK$101,'Portfolio 3_2'!$AP38,21),"")</f>
        <v/>
      </c>
      <c r="E39" s="82" t="str" cm="1">
        <f t="array" ref="E39">IFERROR(INDEX('Portfolio 3_2'!$O$3:$AK$101,'Portfolio 3_2'!$AP38,22),"")</f>
        <v/>
      </c>
      <c r="F39" s="82" t="str" cm="1">
        <f t="array" ref="F39">IFERROR(SUBSTITUTE(INDEX('Portfolio 3_2'!$O$3:$AK$101,'Portfolio 3_2'!$AP38,4),"+"," "),"")</f>
        <v/>
      </c>
      <c r="G39" s="82" t="str" cm="1">
        <f t="array" ref="G39">IFERROR(SUBSTITUTE(INDEX('Portfolio 3_2'!$O$3:$AK$101,'Portfolio 3_2'!$AP38,5),"+"," "),"")</f>
        <v/>
      </c>
      <c r="H39" s="82" t="str" cm="1">
        <f t="array" ref="H39">IFERROR(SUBSTITUTE(INDEX('Portfolio 3_2'!$O$3:$AK$101,'Portfolio 3_2'!$AP38,6),"+"," "),"")</f>
        <v/>
      </c>
      <c r="I39" s="82" t="str" cm="1">
        <f t="array" ref="I39">IFERROR(INDEX('Portfolio 3_2'!$O$3:$AK$101,'Portfolio 3_2'!$AP38,7),"")</f>
        <v/>
      </c>
      <c r="J39" s="82" t="str" cm="1">
        <f t="array" ref="J39">IFERROR(INDEX('Portfolio 3_2'!$O$3:$AK$101,'Portfolio 3_2'!$AP38,8),"")</f>
        <v/>
      </c>
      <c r="K39" s="82" t="str" cm="1">
        <f t="array" ref="K39">IFERROR(SUBSTITUTE(INDEX('Portfolio 3_2'!$O$3:$AK$101,'Portfolio 3_2'!$AP38,9),"+"," "),"")</f>
        <v/>
      </c>
      <c r="L39" s="82" t="str" cm="1">
        <f t="array" ref="L39">IFERROR(SUBSTITUTE(INDEX('Portfolio 3_2'!$O$3:$AK$101,'Portfolio 3_2'!$AP38,12),"+"," "),"")</f>
        <v/>
      </c>
      <c r="M39" s="82" t="str" cm="1">
        <f t="array" ref="M39">IFERROR(SUBSTITUTE(INDEX('Portfolio 3_2'!$O$3:$AK$101,'Portfolio 3_2'!$AP38,10),"+"," "),"")</f>
        <v/>
      </c>
      <c r="N39" s="82" t="str" cm="1">
        <f t="array" ref="N39">IFERROR(SUBSTITUTE(INDEX('Portfolio 3_2'!$O$3:$AK$101,'Portfolio 3_2'!$AP38,11),"+"," "),"")</f>
        <v/>
      </c>
      <c r="O39" s="82" t="str" cm="1">
        <f t="array" ref="O39">IFERROR(SUBSTITUTE(INDEX('Portfolio 3_2'!$O$3:$AK$101,'Portfolio 3_2'!$AP38,13),"+"," "),"")</f>
        <v/>
      </c>
      <c r="P39" s="82" t="str" cm="1">
        <f t="array" ref="P39">IFERROR(IF(ISNUMBER(FIND("กรุงเทพ",INDEX('Portfolio 3_2'!$O$3:$AK$101,'Portfolio 3_2'!$AP38,14))),"กรุงเทพมหานคร",INDEX('Portfolio 3_2'!$O$3:$AK$101,'Portfolio 3_2'!$AP38,14)),"")</f>
        <v/>
      </c>
      <c r="Q39" s="82" t="str" cm="1">
        <f t="array" ref="Q39">IFERROR(INDEX('Portfolio 3_2'!$O$3:$AK$101,'Portfolio 3_2'!$AP38,15),"")</f>
        <v/>
      </c>
      <c r="R39" s="82" t="str" cm="1">
        <f t="array" ref="R39">IFERROR(TEXT(INDEX('Portfolio 3_2'!$O$3:$AK$101,'Portfolio 3_2'!$AP38,16),"dd/mm/yyyy"),"")</f>
        <v/>
      </c>
      <c r="S39" s="82" t="str" cm="1">
        <f t="array" ref="S39">IFERROR(INDEX('Portfolio 3_2'!$O$3:$AK$101,'Portfolio 3_2'!$AP38,20),"")</f>
        <v/>
      </c>
      <c r="T39" s="82" t="str" cm="1">
        <f t="array" ref="T39">IFERROR(INDEX('Portfolio 3_2'!$O$3:$AK$101,'Portfolio 3_2'!$AP38,17),"")</f>
        <v/>
      </c>
      <c r="U39" s="83" t="str" cm="1">
        <f t="array" ref="U39">IFERROR(INDEX('Portfolio 3_2'!$O$3:$AK$101,'Portfolio 3_2'!$AP38,18),"")</f>
        <v/>
      </c>
      <c r="V39" s="83" t="str" cm="1">
        <f t="array" ref="V39">IFERROR(INDEX('Portfolio 3_2'!$O$3:$AK$101,'Portfolio 3_2'!$AP38,19),"")</f>
        <v/>
      </c>
      <c r="W39" s="1" t="str">
        <f t="shared" si="2"/>
        <v/>
      </c>
    </row>
    <row r="40" spans="1:23">
      <c r="A40" s="92" t="str">
        <f t="shared" si="3"/>
        <v/>
      </c>
      <c r="B40" s="82" t="str" cm="1">
        <f t="array" ref="B40">IFERROR(INDEX('Portfolio 3_2'!$O$3:$AK$101,'Portfolio 3_2'!$AP39,2),"")</f>
        <v/>
      </c>
      <c r="C40" s="82" t="str" cm="1">
        <f t="array" ref="C40">IFERROR(SUBSTITUTE(INDEX('Portfolio 3_2'!$O$3:$AK$101,'Portfolio 3_2'!$AP39,23),"น.ส.","นางสาว"),"")</f>
        <v/>
      </c>
      <c r="D40" s="82" t="str" cm="1">
        <f t="array" ref="D40">IFERROR(INDEX('Portfolio 3_2'!$O$3:$AK$101,'Portfolio 3_2'!$AP39,21),"")</f>
        <v/>
      </c>
      <c r="E40" s="82" t="str" cm="1">
        <f t="array" ref="E40">IFERROR(INDEX('Portfolio 3_2'!$O$3:$AK$101,'Portfolio 3_2'!$AP39,22),"")</f>
        <v/>
      </c>
      <c r="F40" s="82" t="str" cm="1">
        <f t="array" ref="F40">IFERROR(SUBSTITUTE(INDEX('Portfolio 3_2'!$O$3:$AK$101,'Portfolio 3_2'!$AP39,4),"+"," "),"")</f>
        <v/>
      </c>
      <c r="G40" s="82" t="str" cm="1">
        <f t="array" ref="G40">IFERROR(SUBSTITUTE(INDEX('Portfolio 3_2'!$O$3:$AK$101,'Portfolio 3_2'!$AP39,5),"+"," "),"")</f>
        <v/>
      </c>
      <c r="H40" s="82" t="str" cm="1">
        <f t="array" ref="H40">IFERROR(SUBSTITUTE(INDEX('Portfolio 3_2'!$O$3:$AK$101,'Portfolio 3_2'!$AP39,6),"+"," "),"")</f>
        <v/>
      </c>
      <c r="I40" s="82" t="str" cm="1">
        <f t="array" ref="I40">IFERROR(INDEX('Portfolio 3_2'!$O$3:$AK$101,'Portfolio 3_2'!$AP39,7),"")</f>
        <v/>
      </c>
      <c r="J40" s="82" t="str" cm="1">
        <f t="array" ref="J40">IFERROR(INDEX('Portfolio 3_2'!$O$3:$AK$101,'Portfolio 3_2'!$AP39,8),"")</f>
        <v/>
      </c>
      <c r="K40" s="82" t="str" cm="1">
        <f t="array" ref="K40">IFERROR(SUBSTITUTE(INDEX('Portfolio 3_2'!$O$3:$AK$101,'Portfolio 3_2'!$AP39,9),"+"," "),"")</f>
        <v/>
      </c>
      <c r="L40" s="82" t="str" cm="1">
        <f t="array" ref="L40">IFERROR(SUBSTITUTE(INDEX('Portfolio 3_2'!$O$3:$AK$101,'Portfolio 3_2'!$AP39,12),"+"," "),"")</f>
        <v/>
      </c>
      <c r="M40" s="82" t="str" cm="1">
        <f t="array" ref="M40">IFERROR(SUBSTITUTE(INDEX('Portfolio 3_2'!$O$3:$AK$101,'Portfolio 3_2'!$AP39,10),"+"," "),"")</f>
        <v/>
      </c>
      <c r="N40" s="82" t="str" cm="1">
        <f t="array" ref="N40">IFERROR(SUBSTITUTE(INDEX('Portfolio 3_2'!$O$3:$AK$101,'Portfolio 3_2'!$AP39,11),"+"," "),"")</f>
        <v/>
      </c>
      <c r="O40" s="82" t="str" cm="1">
        <f t="array" ref="O40">IFERROR(SUBSTITUTE(INDEX('Portfolio 3_2'!$O$3:$AK$101,'Portfolio 3_2'!$AP39,13),"+"," "),"")</f>
        <v/>
      </c>
      <c r="P40" s="82" t="str" cm="1">
        <f t="array" ref="P40">IFERROR(IF(ISNUMBER(FIND("กรุงเทพ",INDEX('Portfolio 3_2'!$O$3:$AK$101,'Portfolio 3_2'!$AP39,14))),"กรุงเทพมหานคร",INDEX('Portfolio 3_2'!$O$3:$AK$101,'Portfolio 3_2'!$AP39,14)),"")</f>
        <v/>
      </c>
      <c r="Q40" s="82" t="str" cm="1">
        <f t="array" ref="Q40">IFERROR(INDEX('Portfolio 3_2'!$O$3:$AK$101,'Portfolio 3_2'!$AP39,15),"")</f>
        <v/>
      </c>
      <c r="R40" s="82" t="str" cm="1">
        <f t="array" ref="R40">IFERROR(TEXT(INDEX('Portfolio 3_2'!$O$3:$AK$101,'Portfolio 3_2'!$AP39,16),"dd/mm/yyyy"),"")</f>
        <v/>
      </c>
      <c r="S40" s="82" t="str" cm="1">
        <f t="array" ref="S40">IFERROR(INDEX('Portfolio 3_2'!$O$3:$AK$101,'Portfolio 3_2'!$AP39,20),"")</f>
        <v/>
      </c>
      <c r="T40" s="82" t="str" cm="1">
        <f t="array" ref="T40">IFERROR(INDEX('Portfolio 3_2'!$O$3:$AK$101,'Portfolio 3_2'!$AP39,17),"")</f>
        <v/>
      </c>
      <c r="U40" s="83" t="str" cm="1">
        <f t="array" ref="U40">IFERROR(INDEX('Portfolio 3_2'!$O$3:$AK$101,'Portfolio 3_2'!$AP39,18),"")</f>
        <v/>
      </c>
      <c r="V40" s="83" t="str" cm="1">
        <f t="array" ref="V40">IFERROR(INDEX('Portfolio 3_2'!$O$3:$AK$101,'Portfolio 3_2'!$AP39,19),"")</f>
        <v/>
      </c>
      <c r="W40" s="1" t="str">
        <f t="shared" si="2"/>
        <v/>
      </c>
    </row>
    <row r="41" spans="1:23">
      <c r="A41" s="92" t="str">
        <f t="shared" si="3"/>
        <v/>
      </c>
      <c r="B41" s="82" t="str" cm="1">
        <f t="array" ref="B41">IFERROR(INDEX('Portfolio 3_2'!$O$3:$AK$101,'Portfolio 3_2'!$AP40,2),"")</f>
        <v/>
      </c>
      <c r="C41" s="82" t="str" cm="1">
        <f t="array" ref="C41">IFERROR(SUBSTITUTE(INDEX('Portfolio 3_2'!$O$3:$AK$101,'Portfolio 3_2'!$AP40,23),"น.ส.","นางสาว"),"")</f>
        <v/>
      </c>
      <c r="D41" s="82" t="str" cm="1">
        <f t="array" ref="D41">IFERROR(INDEX('Portfolio 3_2'!$O$3:$AK$101,'Portfolio 3_2'!$AP40,21),"")</f>
        <v/>
      </c>
      <c r="E41" s="82" t="str" cm="1">
        <f t="array" ref="E41">IFERROR(INDEX('Portfolio 3_2'!$O$3:$AK$101,'Portfolio 3_2'!$AP40,22),"")</f>
        <v/>
      </c>
      <c r="F41" s="82" t="str" cm="1">
        <f t="array" ref="F41">IFERROR(SUBSTITUTE(INDEX('Portfolio 3_2'!$O$3:$AK$101,'Portfolio 3_2'!$AP40,4),"+"," "),"")</f>
        <v/>
      </c>
      <c r="G41" s="82" t="str" cm="1">
        <f t="array" ref="G41">IFERROR(SUBSTITUTE(INDEX('Portfolio 3_2'!$O$3:$AK$101,'Portfolio 3_2'!$AP40,5),"+"," "),"")</f>
        <v/>
      </c>
      <c r="H41" s="82" t="str" cm="1">
        <f t="array" ref="H41">IFERROR(SUBSTITUTE(INDEX('Portfolio 3_2'!$O$3:$AK$101,'Portfolio 3_2'!$AP40,6),"+"," "),"")</f>
        <v/>
      </c>
      <c r="I41" s="82" t="str" cm="1">
        <f t="array" ref="I41">IFERROR(INDEX('Portfolio 3_2'!$O$3:$AK$101,'Portfolio 3_2'!$AP40,7),"")</f>
        <v/>
      </c>
      <c r="J41" s="82" t="str" cm="1">
        <f t="array" ref="J41">IFERROR(INDEX('Portfolio 3_2'!$O$3:$AK$101,'Portfolio 3_2'!$AP40,8),"")</f>
        <v/>
      </c>
      <c r="K41" s="82" t="str" cm="1">
        <f t="array" ref="K41">IFERROR(SUBSTITUTE(INDEX('Portfolio 3_2'!$O$3:$AK$101,'Portfolio 3_2'!$AP40,9),"+"," "),"")</f>
        <v/>
      </c>
      <c r="L41" s="82" t="str" cm="1">
        <f t="array" ref="L41">IFERROR(SUBSTITUTE(INDEX('Portfolio 3_2'!$O$3:$AK$101,'Portfolio 3_2'!$AP40,12),"+"," "),"")</f>
        <v/>
      </c>
      <c r="M41" s="82" t="str" cm="1">
        <f t="array" ref="M41">IFERROR(SUBSTITUTE(INDEX('Portfolio 3_2'!$O$3:$AK$101,'Portfolio 3_2'!$AP40,10),"+"," "),"")</f>
        <v/>
      </c>
      <c r="N41" s="82" t="str" cm="1">
        <f t="array" ref="N41">IFERROR(SUBSTITUTE(INDEX('Portfolio 3_2'!$O$3:$AK$101,'Portfolio 3_2'!$AP40,11),"+"," "),"")</f>
        <v/>
      </c>
      <c r="O41" s="82" t="str" cm="1">
        <f t="array" ref="O41">IFERROR(SUBSTITUTE(INDEX('Portfolio 3_2'!$O$3:$AK$101,'Portfolio 3_2'!$AP40,13),"+"," "),"")</f>
        <v/>
      </c>
      <c r="P41" s="82" t="str" cm="1">
        <f t="array" ref="P41">IFERROR(IF(ISNUMBER(FIND("กรุงเทพ",INDEX('Portfolio 3_2'!$O$3:$AK$101,'Portfolio 3_2'!$AP40,14))),"กรุงเทพมหานคร",INDEX('Portfolio 3_2'!$O$3:$AK$101,'Portfolio 3_2'!$AP40,14)),"")</f>
        <v/>
      </c>
      <c r="Q41" s="82" t="str" cm="1">
        <f t="array" ref="Q41">IFERROR(INDEX('Portfolio 3_2'!$O$3:$AK$101,'Portfolio 3_2'!$AP40,15),"")</f>
        <v/>
      </c>
      <c r="R41" s="82" t="str" cm="1">
        <f t="array" ref="R41">IFERROR(TEXT(INDEX('Portfolio 3_2'!$O$3:$AK$101,'Portfolio 3_2'!$AP40,16),"dd/mm/yyyy"),"")</f>
        <v/>
      </c>
      <c r="S41" s="82" t="str" cm="1">
        <f t="array" ref="S41">IFERROR(INDEX('Portfolio 3_2'!$O$3:$AK$101,'Portfolio 3_2'!$AP40,20),"")</f>
        <v/>
      </c>
      <c r="T41" s="82" t="str" cm="1">
        <f t="array" ref="T41">IFERROR(INDEX('Portfolio 3_2'!$O$3:$AK$101,'Portfolio 3_2'!$AP40,17),"")</f>
        <v/>
      </c>
      <c r="U41" s="83" t="str" cm="1">
        <f t="array" ref="U41">IFERROR(INDEX('Portfolio 3_2'!$O$3:$AK$101,'Portfolio 3_2'!$AP40,18),"")</f>
        <v/>
      </c>
      <c r="V41" s="83" t="str" cm="1">
        <f t="array" ref="V41">IFERROR(INDEX('Portfolio 3_2'!$O$3:$AK$101,'Portfolio 3_2'!$AP40,19),"")</f>
        <v/>
      </c>
      <c r="W41" s="1" t="str">
        <f t="shared" si="2"/>
        <v/>
      </c>
    </row>
    <row r="42" spans="1:23">
      <c r="A42" s="92" t="str">
        <f t="shared" si="3"/>
        <v/>
      </c>
      <c r="B42" s="82" t="str" cm="1">
        <f t="array" ref="B42">IFERROR(INDEX('Portfolio 3_2'!$O$3:$AK$101,'Portfolio 3_2'!$AP41,2),"")</f>
        <v/>
      </c>
      <c r="C42" s="82" t="str" cm="1">
        <f t="array" ref="C42">IFERROR(SUBSTITUTE(INDEX('Portfolio 3_2'!$O$3:$AK$101,'Portfolio 3_2'!$AP41,23),"น.ส.","นางสาว"),"")</f>
        <v/>
      </c>
      <c r="D42" s="82" t="str" cm="1">
        <f t="array" ref="D42">IFERROR(INDEX('Portfolio 3_2'!$O$3:$AK$101,'Portfolio 3_2'!$AP41,21),"")</f>
        <v/>
      </c>
      <c r="E42" s="82" t="str" cm="1">
        <f t="array" ref="E42">IFERROR(INDEX('Portfolio 3_2'!$O$3:$AK$101,'Portfolio 3_2'!$AP41,22),"")</f>
        <v/>
      </c>
      <c r="F42" s="82" t="str" cm="1">
        <f t="array" ref="F42">IFERROR(SUBSTITUTE(INDEX('Portfolio 3_2'!$O$3:$AK$101,'Portfolio 3_2'!$AP41,4),"+"," "),"")</f>
        <v/>
      </c>
      <c r="G42" s="82" t="str" cm="1">
        <f t="array" ref="G42">IFERROR(SUBSTITUTE(INDEX('Portfolio 3_2'!$O$3:$AK$101,'Portfolio 3_2'!$AP41,5),"+"," "),"")</f>
        <v/>
      </c>
      <c r="H42" s="82" t="str" cm="1">
        <f t="array" ref="H42">IFERROR(SUBSTITUTE(INDEX('Portfolio 3_2'!$O$3:$AK$101,'Portfolio 3_2'!$AP41,6),"+"," "),"")</f>
        <v/>
      </c>
      <c r="I42" s="82" t="str" cm="1">
        <f t="array" ref="I42">IFERROR(INDEX('Portfolio 3_2'!$O$3:$AK$101,'Portfolio 3_2'!$AP41,7),"")</f>
        <v/>
      </c>
      <c r="J42" s="82" t="str" cm="1">
        <f t="array" ref="J42">IFERROR(INDEX('Portfolio 3_2'!$O$3:$AK$101,'Portfolio 3_2'!$AP41,8),"")</f>
        <v/>
      </c>
      <c r="K42" s="82" t="str" cm="1">
        <f t="array" ref="K42">IFERROR(SUBSTITUTE(INDEX('Portfolio 3_2'!$O$3:$AK$101,'Portfolio 3_2'!$AP41,9),"+"," "),"")</f>
        <v/>
      </c>
      <c r="L42" s="82" t="str" cm="1">
        <f t="array" ref="L42">IFERROR(SUBSTITUTE(INDEX('Portfolio 3_2'!$O$3:$AK$101,'Portfolio 3_2'!$AP41,12),"+"," "),"")</f>
        <v/>
      </c>
      <c r="M42" s="82" t="str" cm="1">
        <f t="array" ref="M42">IFERROR(SUBSTITUTE(INDEX('Portfolio 3_2'!$O$3:$AK$101,'Portfolio 3_2'!$AP41,10),"+"," "),"")</f>
        <v/>
      </c>
      <c r="N42" s="82" t="str" cm="1">
        <f t="array" ref="N42">IFERROR(SUBSTITUTE(INDEX('Portfolio 3_2'!$O$3:$AK$101,'Portfolio 3_2'!$AP41,11),"+"," "),"")</f>
        <v/>
      </c>
      <c r="O42" s="82" t="str" cm="1">
        <f t="array" ref="O42">IFERROR(SUBSTITUTE(INDEX('Portfolio 3_2'!$O$3:$AK$101,'Portfolio 3_2'!$AP41,13),"+"," "),"")</f>
        <v/>
      </c>
      <c r="P42" s="82" t="str" cm="1">
        <f t="array" ref="P42">IFERROR(IF(ISNUMBER(FIND("กรุงเทพ",INDEX('Portfolio 3_2'!$O$3:$AK$101,'Portfolio 3_2'!$AP41,14))),"กรุงเทพมหานคร",INDEX('Portfolio 3_2'!$O$3:$AK$101,'Portfolio 3_2'!$AP41,14)),"")</f>
        <v/>
      </c>
      <c r="Q42" s="82" t="str" cm="1">
        <f t="array" ref="Q42">IFERROR(INDEX('Portfolio 3_2'!$O$3:$AK$101,'Portfolio 3_2'!$AP41,15),"")</f>
        <v/>
      </c>
      <c r="R42" s="82" t="str" cm="1">
        <f t="array" ref="R42">IFERROR(TEXT(INDEX('Portfolio 3_2'!$O$3:$AK$101,'Portfolio 3_2'!$AP41,16),"dd/mm/yyyy"),"")</f>
        <v/>
      </c>
      <c r="S42" s="82" t="str" cm="1">
        <f t="array" ref="S42">IFERROR(INDEX('Portfolio 3_2'!$O$3:$AK$101,'Portfolio 3_2'!$AP41,20),"")</f>
        <v/>
      </c>
      <c r="T42" s="82" t="str" cm="1">
        <f t="array" ref="T42">IFERROR(INDEX('Portfolio 3_2'!$O$3:$AK$101,'Portfolio 3_2'!$AP41,17),"")</f>
        <v/>
      </c>
      <c r="U42" s="83" t="str" cm="1">
        <f t="array" ref="U42">IFERROR(INDEX('Portfolio 3_2'!$O$3:$AK$101,'Portfolio 3_2'!$AP41,18),"")</f>
        <v/>
      </c>
      <c r="V42" s="83" t="str" cm="1">
        <f t="array" ref="V42">IFERROR(INDEX('Portfolio 3_2'!$O$3:$AK$101,'Portfolio 3_2'!$AP41,19),"")</f>
        <v/>
      </c>
      <c r="W42" s="1" t="str">
        <f t="shared" si="2"/>
        <v/>
      </c>
    </row>
    <row r="43" spans="1:23">
      <c r="A43" s="92" t="str">
        <f t="shared" si="3"/>
        <v/>
      </c>
      <c r="B43" s="82" t="str" cm="1">
        <f t="array" ref="B43">IFERROR(INDEX('Portfolio 3_2'!$O$3:$AK$101,'Portfolio 3_2'!$AP42,2),"")</f>
        <v/>
      </c>
      <c r="C43" s="82" t="str" cm="1">
        <f t="array" ref="C43">IFERROR(SUBSTITUTE(INDEX('Portfolio 3_2'!$O$3:$AK$101,'Portfolio 3_2'!$AP42,23),"น.ส.","นางสาว"),"")</f>
        <v/>
      </c>
      <c r="D43" s="82" t="str" cm="1">
        <f t="array" ref="D43">IFERROR(INDEX('Portfolio 3_2'!$O$3:$AK$101,'Portfolio 3_2'!$AP42,21),"")</f>
        <v/>
      </c>
      <c r="E43" s="82" t="str" cm="1">
        <f t="array" ref="E43">IFERROR(INDEX('Portfolio 3_2'!$O$3:$AK$101,'Portfolio 3_2'!$AP42,22),"")</f>
        <v/>
      </c>
      <c r="F43" s="82" t="str" cm="1">
        <f t="array" ref="F43">IFERROR(SUBSTITUTE(INDEX('Portfolio 3_2'!$O$3:$AK$101,'Portfolio 3_2'!$AP42,4),"+"," "),"")</f>
        <v/>
      </c>
      <c r="G43" s="82" t="str" cm="1">
        <f t="array" ref="G43">IFERROR(SUBSTITUTE(INDEX('Portfolio 3_2'!$O$3:$AK$101,'Portfolio 3_2'!$AP42,5),"+"," "),"")</f>
        <v/>
      </c>
      <c r="H43" s="82" t="str" cm="1">
        <f t="array" ref="H43">IFERROR(SUBSTITUTE(INDEX('Portfolio 3_2'!$O$3:$AK$101,'Portfolio 3_2'!$AP42,6),"+"," "),"")</f>
        <v/>
      </c>
      <c r="I43" s="82" t="str" cm="1">
        <f t="array" ref="I43">IFERROR(INDEX('Portfolio 3_2'!$O$3:$AK$101,'Portfolio 3_2'!$AP42,7),"")</f>
        <v/>
      </c>
      <c r="J43" s="82" t="str" cm="1">
        <f t="array" ref="J43">IFERROR(INDEX('Portfolio 3_2'!$O$3:$AK$101,'Portfolio 3_2'!$AP42,8),"")</f>
        <v/>
      </c>
      <c r="K43" s="82" t="str" cm="1">
        <f t="array" ref="K43">IFERROR(SUBSTITUTE(INDEX('Portfolio 3_2'!$O$3:$AK$101,'Portfolio 3_2'!$AP42,9),"+"," "),"")</f>
        <v/>
      </c>
      <c r="L43" s="82" t="str" cm="1">
        <f t="array" ref="L43">IFERROR(SUBSTITUTE(INDEX('Portfolio 3_2'!$O$3:$AK$101,'Portfolio 3_2'!$AP42,12),"+"," "),"")</f>
        <v/>
      </c>
      <c r="M43" s="82" t="str" cm="1">
        <f t="array" ref="M43">IFERROR(SUBSTITUTE(INDEX('Portfolio 3_2'!$O$3:$AK$101,'Portfolio 3_2'!$AP42,10),"+"," "),"")</f>
        <v/>
      </c>
      <c r="N43" s="82" t="str" cm="1">
        <f t="array" ref="N43">IFERROR(SUBSTITUTE(INDEX('Portfolio 3_2'!$O$3:$AK$101,'Portfolio 3_2'!$AP42,11),"+"," "),"")</f>
        <v/>
      </c>
      <c r="O43" s="82" t="str" cm="1">
        <f t="array" ref="O43">IFERROR(SUBSTITUTE(INDEX('Portfolio 3_2'!$O$3:$AK$101,'Portfolio 3_2'!$AP42,13),"+"," "),"")</f>
        <v/>
      </c>
      <c r="P43" s="82" t="str" cm="1">
        <f t="array" ref="P43">IFERROR(IF(ISNUMBER(FIND("กรุงเทพ",INDEX('Portfolio 3_2'!$O$3:$AK$101,'Portfolio 3_2'!$AP42,14))),"กรุงเทพมหานคร",INDEX('Portfolio 3_2'!$O$3:$AK$101,'Portfolio 3_2'!$AP42,14)),"")</f>
        <v/>
      </c>
      <c r="Q43" s="82" t="str" cm="1">
        <f t="array" ref="Q43">IFERROR(INDEX('Portfolio 3_2'!$O$3:$AK$101,'Portfolio 3_2'!$AP42,15),"")</f>
        <v/>
      </c>
      <c r="R43" s="82" t="str" cm="1">
        <f t="array" ref="R43">IFERROR(TEXT(INDEX('Portfolio 3_2'!$O$3:$AK$101,'Portfolio 3_2'!$AP42,16),"dd/mm/yyyy"),"")</f>
        <v/>
      </c>
      <c r="S43" s="82" t="str" cm="1">
        <f t="array" ref="S43">IFERROR(INDEX('Portfolio 3_2'!$O$3:$AK$101,'Portfolio 3_2'!$AP42,20),"")</f>
        <v/>
      </c>
      <c r="T43" s="82" t="str" cm="1">
        <f t="array" ref="T43">IFERROR(INDEX('Portfolio 3_2'!$O$3:$AK$101,'Portfolio 3_2'!$AP42,17),"")</f>
        <v/>
      </c>
      <c r="U43" s="83" t="str" cm="1">
        <f t="array" ref="U43">IFERROR(INDEX('Portfolio 3_2'!$O$3:$AK$101,'Portfolio 3_2'!$AP42,18),"")</f>
        <v/>
      </c>
      <c r="V43" s="83" t="str" cm="1">
        <f t="array" ref="V43">IFERROR(INDEX('Portfolio 3_2'!$O$3:$AK$101,'Portfolio 3_2'!$AP42,19),"")</f>
        <v/>
      </c>
      <c r="W43" s="1" t="str">
        <f t="shared" si="2"/>
        <v/>
      </c>
    </row>
    <row r="44" spans="1:23">
      <c r="A44" s="92" t="str">
        <f t="shared" si="3"/>
        <v/>
      </c>
      <c r="B44" s="82" t="str" cm="1">
        <f t="array" ref="B44">IFERROR(INDEX('Portfolio 3_2'!$O$3:$AK$101,'Portfolio 3_2'!$AP43,2),"")</f>
        <v/>
      </c>
      <c r="C44" s="82" t="str" cm="1">
        <f t="array" ref="C44">IFERROR(SUBSTITUTE(INDEX('Portfolio 3_2'!$O$3:$AK$101,'Portfolio 3_2'!$AP43,23),"น.ส.","นางสาว"),"")</f>
        <v/>
      </c>
      <c r="D44" s="82" t="str" cm="1">
        <f t="array" ref="D44">IFERROR(INDEX('Portfolio 3_2'!$O$3:$AK$101,'Portfolio 3_2'!$AP43,21),"")</f>
        <v/>
      </c>
      <c r="E44" s="82" t="str" cm="1">
        <f t="array" ref="E44">IFERROR(INDEX('Portfolio 3_2'!$O$3:$AK$101,'Portfolio 3_2'!$AP43,22),"")</f>
        <v/>
      </c>
      <c r="F44" s="82" t="str" cm="1">
        <f t="array" ref="F44">IFERROR(SUBSTITUTE(INDEX('Portfolio 3_2'!$O$3:$AK$101,'Portfolio 3_2'!$AP43,4),"+"," "),"")</f>
        <v/>
      </c>
      <c r="G44" s="82" t="str" cm="1">
        <f t="array" ref="G44">IFERROR(SUBSTITUTE(INDEX('Portfolio 3_2'!$O$3:$AK$101,'Portfolio 3_2'!$AP43,5),"+"," "),"")</f>
        <v/>
      </c>
      <c r="H44" s="82" t="str" cm="1">
        <f t="array" ref="H44">IFERROR(SUBSTITUTE(INDEX('Portfolio 3_2'!$O$3:$AK$101,'Portfolio 3_2'!$AP43,6),"+"," "),"")</f>
        <v/>
      </c>
      <c r="I44" s="82" t="str" cm="1">
        <f t="array" ref="I44">IFERROR(INDEX('Portfolio 3_2'!$O$3:$AK$101,'Portfolio 3_2'!$AP43,7),"")</f>
        <v/>
      </c>
      <c r="J44" s="82" t="str" cm="1">
        <f t="array" ref="J44">IFERROR(INDEX('Portfolio 3_2'!$O$3:$AK$101,'Portfolio 3_2'!$AP43,8),"")</f>
        <v/>
      </c>
      <c r="K44" s="82" t="str" cm="1">
        <f t="array" ref="K44">IFERROR(SUBSTITUTE(INDEX('Portfolio 3_2'!$O$3:$AK$101,'Portfolio 3_2'!$AP43,9),"+"," "),"")</f>
        <v/>
      </c>
      <c r="L44" s="82" t="str" cm="1">
        <f t="array" ref="L44">IFERROR(SUBSTITUTE(INDEX('Portfolio 3_2'!$O$3:$AK$101,'Portfolio 3_2'!$AP43,12),"+"," "),"")</f>
        <v/>
      </c>
      <c r="M44" s="82" t="str" cm="1">
        <f t="array" ref="M44">IFERROR(SUBSTITUTE(INDEX('Portfolio 3_2'!$O$3:$AK$101,'Portfolio 3_2'!$AP43,10),"+"," "),"")</f>
        <v/>
      </c>
      <c r="N44" s="82" t="str" cm="1">
        <f t="array" ref="N44">IFERROR(SUBSTITUTE(INDEX('Portfolio 3_2'!$O$3:$AK$101,'Portfolio 3_2'!$AP43,11),"+"," "),"")</f>
        <v/>
      </c>
      <c r="O44" s="82" t="str" cm="1">
        <f t="array" ref="O44">IFERROR(SUBSTITUTE(INDEX('Portfolio 3_2'!$O$3:$AK$101,'Portfolio 3_2'!$AP43,13),"+"," "),"")</f>
        <v/>
      </c>
      <c r="P44" s="82" t="str" cm="1">
        <f t="array" ref="P44">IFERROR(IF(ISNUMBER(FIND("กรุงเทพ",INDEX('Portfolio 3_2'!$O$3:$AK$101,'Portfolio 3_2'!$AP43,14))),"กรุงเทพมหานคร",INDEX('Portfolio 3_2'!$O$3:$AK$101,'Portfolio 3_2'!$AP43,14)),"")</f>
        <v/>
      </c>
      <c r="Q44" s="82" t="str" cm="1">
        <f t="array" ref="Q44">IFERROR(INDEX('Portfolio 3_2'!$O$3:$AK$101,'Portfolio 3_2'!$AP43,15),"")</f>
        <v/>
      </c>
      <c r="R44" s="82" t="str" cm="1">
        <f t="array" ref="R44">IFERROR(TEXT(INDEX('Portfolio 3_2'!$O$3:$AK$101,'Portfolio 3_2'!$AP43,16),"dd/mm/yyyy"),"")</f>
        <v/>
      </c>
      <c r="S44" s="82" t="str" cm="1">
        <f t="array" ref="S44">IFERROR(INDEX('Portfolio 3_2'!$O$3:$AK$101,'Portfolio 3_2'!$AP43,20),"")</f>
        <v/>
      </c>
      <c r="T44" s="82" t="str" cm="1">
        <f t="array" ref="T44">IFERROR(INDEX('Portfolio 3_2'!$O$3:$AK$101,'Portfolio 3_2'!$AP43,17),"")</f>
        <v/>
      </c>
      <c r="U44" s="83" t="str" cm="1">
        <f t="array" ref="U44">IFERROR(INDEX('Portfolio 3_2'!$O$3:$AK$101,'Portfolio 3_2'!$AP43,18),"")</f>
        <v/>
      </c>
      <c r="V44" s="83" t="str" cm="1">
        <f t="array" ref="V44">IFERROR(INDEX('Portfolio 3_2'!$O$3:$AK$101,'Portfolio 3_2'!$AP43,19),"")</f>
        <v/>
      </c>
      <c r="W44" s="1" t="str">
        <f t="shared" si="2"/>
        <v/>
      </c>
    </row>
    <row r="45" spans="1:23">
      <c r="A45" s="92" t="str">
        <f t="shared" si="3"/>
        <v/>
      </c>
      <c r="B45" s="82" t="str" cm="1">
        <f t="array" ref="B45">IFERROR(INDEX('Portfolio 3_2'!$O$3:$AK$101,'Portfolio 3_2'!$AP44,2),"")</f>
        <v/>
      </c>
      <c r="C45" s="82" t="str" cm="1">
        <f t="array" ref="C45">IFERROR(SUBSTITUTE(INDEX('Portfolio 3_2'!$O$3:$AK$101,'Portfolio 3_2'!$AP44,23),"น.ส.","นางสาว"),"")</f>
        <v/>
      </c>
      <c r="D45" s="82" t="str" cm="1">
        <f t="array" ref="D45">IFERROR(INDEX('Portfolio 3_2'!$O$3:$AK$101,'Portfolio 3_2'!$AP44,21),"")</f>
        <v/>
      </c>
      <c r="E45" s="82" t="str" cm="1">
        <f t="array" ref="E45">IFERROR(INDEX('Portfolio 3_2'!$O$3:$AK$101,'Portfolio 3_2'!$AP44,22),"")</f>
        <v/>
      </c>
      <c r="F45" s="82" t="str" cm="1">
        <f t="array" ref="F45">IFERROR(SUBSTITUTE(INDEX('Portfolio 3_2'!$O$3:$AK$101,'Portfolio 3_2'!$AP44,4),"+"," "),"")</f>
        <v/>
      </c>
      <c r="G45" s="82" t="str" cm="1">
        <f t="array" ref="G45">IFERROR(SUBSTITUTE(INDEX('Portfolio 3_2'!$O$3:$AK$101,'Portfolio 3_2'!$AP44,5),"+"," "),"")</f>
        <v/>
      </c>
      <c r="H45" s="82" t="str" cm="1">
        <f t="array" ref="H45">IFERROR(SUBSTITUTE(INDEX('Portfolio 3_2'!$O$3:$AK$101,'Portfolio 3_2'!$AP44,6),"+"," "),"")</f>
        <v/>
      </c>
      <c r="I45" s="82" t="str" cm="1">
        <f t="array" ref="I45">IFERROR(INDEX('Portfolio 3_2'!$O$3:$AK$101,'Portfolio 3_2'!$AP44,7),"")</f>
        <v/>
      </c>
      <c r="J45" s="82" t="str" cm="1">
        <f t="array" ref="J45">IFERROR(INDEX('Portfolio 3_2'!$O$3:$AK$101,'Portfolio 3_2'!$AP44,8),"")</f>
        <v/>
      </c>
      <c r="K45" s="82" t="str" cm="1">
        <f t="array" ref="K45">IFERROR(SUBSTITUTE(INDEX('Portfolio 3_2'!$O$3:$AK$101,'Portfolio 3_2'!$AP44,9),"+"," "),"")</f>
        <v/>
      </c>
      <c r="L45" s="82" t="str" cm="1">
        <f t="array" ref="L45">IFERROR(SUBSTITUTE(INDEX('Portfolio 3_2'!$O$3:$AK$101,'Portfolio 3_2'!$AP44,12),"+"," "),"")</f>
        <v/>
      </c>
      <c r="M45" s="82" t="str" cm="1">
        <f t="array" ref="M45">IFERROR(SUBSTITUTE(INDEX('Portfolio 3_2'!$O$3:$AK$101,'Portfolio 3_2'!$AP44,10),"+"," "),"")</f>
        <v/>
      </c>
      <c r="N45" s="82" t="str" cm="1">
        <f t="array" ref="N45">IFERROR(SUBSTITUTE(INDEX('Portfolio 3_2'!$O$3:$AK$101,'Portfolio 3_2'!$AP44,11),"+"," "),"")</f>
        <v/>
      </c>
      <c r="O45" s="82" t="str" cm="1">
        <f t="array" ref="O45">IFERROR(SUBSTITUTE(INDEX('Portfolio 3_2'!$O$3:$AK$101,'Portfolio 3_2'!$AP44,13),"+"," "),"")</f>
        <v/>
      </c>
      <c r="P45" s="82" t="str" cm="1">
        <f t="array" ref="P45">IFERROR(IF(ISNUMBER(FIND("กรุงเทพ",INDEX('Portfolio 3_2'!$O$3:$AK$101,'Portfolio 3_2'!$AP44,14))),"กรุงเทพมหานคร",INDEX('Portfolio 3_2'!$O$3:$AK$101,'Portfolio 3_2'!$AP44,14)),"")</f>
        <v/>
      </c>
      <c r="Q45" s="82" t="str" cm="1">
        <f t="array" ref="Q45">IFERROR(INDEX('Portfolio 3_2'!$O$3:$AK$101,'Portfolio 3_2'!$AP44,15),"")</f>
        <v/>
      </c>
      <c r="R45" s="82" t="str" cm="1">
        <f t="array" ref="R45">IFERROR(TEXT(INDEX('Portfolio 3_2'!$O$3:$AK$101,'Portfolio 3_2'!$AP44,16),"dd/mm/yyyy"),"")</f>
        <v/>
      </c>
      <c r="S45" s="82" t="str" cm="1">
        <f t="array" ref="S45">IFERROR(INDEX('Portfolio 3_2'!$O$3:$AK$101,'Portfolio 3_2'!$AP44,20),"")</f>
        <v/>
      </c>
      <c r="T45" s="82" t="str" cm="1">
        <f t="array" ref="T45">IFERROR(INDEX('Portfolio 3_2'!$O$3:$AK$101,'Portfolio 3_2'!$AP44,17),"")</f>
        <v/>
      </c>
      <c r="U45" s="83" t="str" cm="1">
        <f t="array" ref="U45">IFERROR(INDEX('Portfolio 3_2'!$O$3:$AK$101,'Portfolio 3_2'!$AP44,18),"")</f>
        <v/>
      </c>
      <c r="V45" s="83" t="str" cm="1">
        <f t="array" ref="V45">IFERROR(INDEX('Portfolio 3_2'!$O$3:$AK$101,'Portfolio 3_2'!$AP44,19),"")</f>
        <v/>
      </c>
      <c r="W45" s="1" t="str">
        <f t="shared" si="2"/>
        <v/>
      </c>
    </row>
    <row r="46" spans="1:23">
      <c r="A46" s="92" t="str">
        <f t="shared" si="3"/>
        <v/>
      </c>
      <c r="B46" s="82" t="str" cm="1">
        <f t="array" ref="B46">IFERROR(INDEX('Portfolio 3_2'!$O$3:$AK$101,'Portfolio 3_2'!$AP45,2),"")</f>
        <v/>
      </c>
      <c r="C46" s="82" t="str" cm="1">
        <f t="array" ref="C46">IFERROR(SUBSTITUTE(INDEX('Portfolio 3_2'!$O$3:$AK$101,'Portfolio 3_2'!$AP45,23),"น.ส.","นางสาว"),"")</f>
        <v/>
      </c>
      <c r="D46" s="82" t="str" cm="1">
        <f t="array" ref="D46">IFERROR(INDEX('Portfolio 3_2'!$O$3:$AK$101,'Portfolio 3_2'!$AP45,21),"")</f>
        <v/>
      </c>
      <c r="E46" s="82" t="str" cm="1">
        <f t="array" ref="E46">IFERROR(INDEX('Portfolio 3_2'!$O$3:$AK$101,'Portfolio 3_2'!$AP45,22),"")</f>
        <v/>
      </c>
      <c r="F46" s="82" t="str" cm="1">
        <f t="array" ref="F46">IFERROR(SUBSTITUTE(INDEX('Portfolio 3_2'!$O$3:$AK$101,'Portfolio 3_2'!$AP45,4),"+"," "),"")</f>
        <v/>
      </c>
      <c r="G46" s="82" t="str" cm="1">
        <f t="array" ref="G46">IFERROR(SUBSTITUTE(INDEX('Portfolio 3_2'!$O$3:$AK$101,'Portfolio 3_2'!$AP45,5),"+"," "),"")</f>
        <v/>
      </c>
      <c r="H46" s="82" t="str" cm="1">
        <f t="array" ref="H46">IFERROR(SUBSTITUTE(INDEX('Portfolio 3_2'!$O$3:$AK$101,'Portfolio 3_2'!$AP45,6),"+"," "),"")</f>
        <v/>
      </c>
      <c r="I46" s="82" t="str" cm="1">
        <f t="array" ref="I46">IFERROR(INDEX('Portfolio 3_2'!$O$3:$AK$101,'Portfolio 3_2'!$AP45,7),"")</f>
        <v/>
      </c>
      <c r="J46" s="82" t="str" cm="1">
        <f t="array" ref="J46">IFERROR(INDEX('Portfolio 3_2'!$O$3:$AK$101,'Portfolio 3_2'!$AP45,8),"")</f>
        <v/>
      </c>
      <c r="K46" s="82" t="str" cm="1">
        <f t="array" ref="K46">IFERROR(SUBSTITUTE(INDEX('Portfolio 3_2'!$O$3:$AK$101,'Portfolio 3_2'!$AP45,9),"+"," "),"")</f>
        <v/>
      </c>
      <c r="L46" s="82" t="str" cm="1">
        <f t="array" ref="L46">IFERROR(SUBSTITUTE(INDEX('Portfolio 3_2'!$O$3:$AK$101,'Portfolio 3_2'!$AP45,12),"+"," "),"")</f>
        <v/>
      </c>
      <c r="M46" s="82" t="str" cm="1">
        <f t="array" ref="M46">IFERROR(SUBSTITUTE(INDEX('Portfolio 3_2'!$O$3:$AK$101,'Portfolio 3_2'!$AP45,10),"+"," "),"")</f>
        <v/>
      </c>
      <c r="N46" s="82" t="str" cm="1">
        <f t="array" ref="N46">IFERROR(SUBSTITUTE(INDEX('Portfolio 3_2'!$O$3:$AK$101,'Portfolio 3_2'!$AP45,11),"+"," "),"")</f>
        <v/>
      </c>
      <c r="O46" s="82" t="str" cm="1">
        <f t="array" ref="O46">IFERROR(SUBSTITUTE(INDEX('Portfolio 3_2'!$O$3:$AK$101,'Portfolio 3_2'!$AP45,13),"+"," "),"")</f>
        <v/>
      </c>
      <c r="P46" s="82" t="str" cm="1">
        <f t="array" ref="P46">IFERROR(IF(ISNUMBER(FIND("กรุงเทพ",INDEX('Portfolio 3_2'!$O$3:$AK$101,'Portfolio 3_2'!$AP45,14))),"กรุงเทพมหานคร",INDEX('Portfolio 3_2'!$O$3:$AK$101,'Portfolio 3_2'!$AP45,14)),"")</f>
        <v/>
      </c>
      <c r="Q46" s="82" t="str" cm="1">
        <f t="array" ref="Q46">IFERROR(INDEX('Portfolio 3_2'!$O$3:$AK$101,'Portfolio 3_2'!$AP45,15),"")</f>
        <v/>
      </c>
      <c r="R46" s="82" t="str" cm="1">
        <f t="array" ref="R46">IFERROR(TEXT(INDEX('Portfolio 3_2'!$O$3:$AK$101,'Portfolio 3_2'!$AP45,16),"dd/mm/yyyy"),"")</f>
        <v/>
      </c>
      <c r="S46" s="82" t="str" cm="1">
        <f t="array" ref="S46">IFERROR(INDEX('Portfolio 3_2'!$O$3:$AK$101,'Portfolio 3_2'!$AP45,20),"")</f>
        <v/>
      </c>
      <c r="T46" s="82" t="str" cm="1">
        <f t="array" ref="T46">IFERROR(INDEX('Portfolio 3_2'!$O$3:$AK$101,'Portfolio 3_2'!$AP45,17),"")</f>
        <v/>
      </c>
      <c r="U46" s="83" t="str" cm="1">
        <f t="array" ref="U46">IFERROR(INDEX('Portfolio 3_2'!$O$3:$AK$101,'Portfolio 3_2'!$AP45,18),"")</f>
        <v/>
      </c>
      <c r="V46" s="83" t="str" cm="1">
        <f t="array" ref="V46">IFERROR(INDEX('Portfolio 3_2'!$O$3:$AK$101,'Portfolio 3_2'!$AP45,19),"")</f>
        <v/>
      </c>
      <c r="W46" s="1" t="str">
        <f t="shared" si="2"/>
        <v/>
      </c>
    </row>
    <row r="47" spans="1:23">
      <c r="A47" s="92" t="str">
        <f t="shared" si="3"/>
        <v/>
      </c>
      <c r="B47" s="82" t="str" cm="1">
        <f t="array" ref="B47">IFERROR(INDEX('Portfolio 3_2'!$O$3:$AK$101,'Portfolio 3_2'!$AP46,2),"")</f>
        <v/>
      </c>
      <c r="C47" s="82" t="str" cm="1">
        <f t="array" ref="C47">IFERROR(SUBSTITUTE(INDEX('Portfolio 3_2'!$O$3:$AK$101,'Portfolio 3_2'!$AP46,23),"น.ส.","นางสาว"),"")</f>
        <v/>
      </c>
      <c r="D47" s="82" t="str" cm="1">
        <f t="array" ref="D47">IFERROR(INDEX('Portfolio 3_2'!$O$3:$AK$101,'Portfolio 3_2'!$AP46,21),"")</f>
        <v/>
      </c>
      <c r="E47" s="82" t="str" cm="1">
        <f t="array" ref="E47">IFERROR(INDEX('Portfolio 3_2'!$O$3:$AK$101,'Portfolio 3_2'!$AP46,22),"")</f>
        <v/>
      </c>
      <c r="F47" s="82" t="str" cm="1">
        <f t="array" ref="F47">IFERROR(SUBSTITUTE(INDEX('Portfolio 3_2'!$O$3:$AK$101,'Portfolio 3_2'!$AP46,4),"+"," "),"")</f>
        <v/>
      </c>
      <c r="G47" s="82" t="str" cm="1">
        <f t="array" ref="G47">IFERROR(SUBSTITUTE(INDEX('Portfolio 3_2'!$O$3:$AK$101,'Portfolio 3_2'!$AP46,5),"+"," "),"")</f>
        <v/>
      </c>
      <c r="H47" s="82" t="str" cm="1">
        <f t="array" ref="H47">IFERROR(SUBSTITUTE(INDEX('Portfolio 3_2'!$O$3:$AK$101,'Portfolio 3_2'!$AP46,6),"+"," "),"")</f>
        <v/>
      </c>
      <c r="I47" s="82" t="str" cm="1">
        <f t="array" ref="I47">IFERROR(INDEX('Portfolio 3_2'!$O$3:$AK$101,'Portfolio 3_2'!$AP46,7),"")</f>
        <v/>
      </c>
      <c r="J47" s="82" t="str" cm="1">
        <f t="array" ref="J47">IFERROR(INDEX('Portfolio 3_2'!$O$3:$AK$101,'Portfolio 3_2'!$AP46,8),"")</f>
        <v/>
      </c>
      <c r="K47" s="82" t="str" cm="1">
        <f t="array" ref="K47">IFERROR(SUBSTITUTE(INDEX('Portfolio 3_2'!$O$3:$AK$101,'Portfolio 3_2'!$AP46,9),"+"," "),"")</f>
        <v/>
      </c>
      <c r="L47" s="82" t="str" cm="1">
        <f t="array" ref="L47">IFERROR(SUBSTITUTE(INDEX('Portfolio 3_2'!$O$3:$AK$101,'Portfolio 3_2'!$AP46,12),"+"," "),"")</f>
        <v/>
      </c>
      <c r="M47" s="82" t="str" cm="1">
        <f t="array" ref="M47">IFERROR(SUBSTITUTE(INDEX('Portfolio 3_2'!$O$3:$AK$101,'Portfolio 3_2'!$AP46,10),"+"," "),"")</f>
        <v/>
      </c>
      <c r="N47" s="82" t="str" cm="1">
        <f t="array" ref="N47">IFERROR(SUBSTITUTE(INDEX('Portfolio 3_2'!$O$3:$AK$101,'Portfolio 3_2'!$AP46,11),"+"," "),"")</f>
        <v/>
      </c>
      <c r="O47" s="82" t="str" cm="1">
        <f t="array" ref="O47">IFERROR(SUBSTITUTE(INDEX('Portfolio 3_2'!$O$3:$AK$101,'Portfolio 3_2'!$AP46,13),"+"," "),"")</f>
        <v/>
      </c>
      <c r="P47" s="82" t="str" cm="1">
        <f t="array" ref="P47">IFERROR(IF(ISNUMBER(FIND("กรุงเทพ",INDEX('Portfolio 3_2'!$O$3:$AK$101,'Portfolio 3_2'!$AP46,14))),"กรุงเทพมหานคร",INDEX('Portfolio 3_2'!$O$3:$AK$101,'Portfolio 3_2'!$AP46,14)),"")</f>
        <v/>
      </c>
      <c r="Q47" s="82" t="str" cm="1">
        <f t="array" ref="Q47">IFERROR(INDEX('Portfolio 3_2'!$O$3:$AK$101,'Portfolio 3_2'!$AP46,15),"")</f>
        <v/>
      </c>
      <c r="R47" s="82" t="str" cm="1">
        <f t="array" ref="R47">IFERROR(TEXT(INDEX('Portfolio 3_2'!$O$3:$AK$101,'Portfolio 3_2'!$AP46,16),"dd/mm/yyyy"),"")</f>
        <v/>
      </c>
      <c r="S47" s="82" t="str" cm="1">
        <f t="array" ref="S47">IFERROR(INDEX('Portfolio 3_2'!$O$3:$AK$101,'Portfolio 3_2'!$AP46,20),"")</f>
        <v/>
      </c>
      <c r="T47" s="82" t="str" cm="1">
        <f t="array" ref="T47">IFERROR(INDEX('Portfolio 3_2'!$O$3:$AK$101,'Portfolio 3_2'!$AP46,17),"")</f>
        <v/>
      </c>
      <c r="U47" s="83" t="str" cm="1">
        <f t="array" ref="U47">IFERROR(INDEX('Portfolio 3_2'!$O$3:$AK$101,'Portfolio 3_2'!$AP46,18),"")</f>
        <v/>
      </c>
      <c r="V47" s="83" t="str" cm="1">
        <f t="array" ref="V47">IFERROR(INDEX('Portfolio 3_2'!$O$3:$AK$101,'Portfolio 3_2'!$AP46,19),"")</f>
        <v/>
      </c>
      <c r="W47" s="1" t="str">
        <f t="shared" si="2"/>
        <v/>
      </c>
    </row>
    <row r="48" spans="1:23">
      <c r="A48" s="92" t="str">
        <f t="shared" si="3"/>
        <v/>
      </c>
      <c r="B48" s="82" t="str" cm="1">
        <f t="array" ref="B48">IFERROR(INDEX('Portfolio 3_2'!$O$3:$AK$101,'Portfolio 3_2'!$AP47,2),"")</f>
        <v/>
      </c>
      <c r="C48" s="82" t="str" cm="1">
        <f t="array" ref="C48">IFERROR(SUBSTITUTE(INDEX('Portfolio 3_2'!$O$3:$AK$101,'Portfolio 3_2'!$AP47,23),"น.ส.","นางสาว"),"")</f>
        <v/>
      </c>
      <c r="D48" s="82" t="str" cm="1">
        <f t="array" ref="D48">IFERROR(INDEX('Portfolio 3_2'!$O$3:$AK$101,'Portfolio 3_2'!$AP47,21),"")</f>
        <v/>
      </c>
      <c r="E48" s="82" t="str" cm="1">
        <f t="array" ref="E48">IFERROR(INDEX('Portfolio 3_2'!$O$3:$AK$101,'Portfolio 3_2'!$AP47,22),"")</f>
        <v/>
      </c>
      <c r="F48" s="82" t="str" cm="1">
        <f t="array" ref="F48">IFERROR(SUBSTITUTE(INDEX('Portfolio 3_2'!$O$3:$AK$101,'Portfolio 3_2'!$AP47,4),"+"," "),"")</f>
        <v/>
      </c>
      <c r="G48" s="82" t="str" cm="1">
        <f t="array" ref="G48">IFERROR(SUBSTITUTE(INDEX('Portfolio 3_2'!$O$3:$AK$101,'Portfolio 3_2'!$AP47,5),"+"," "),"")</f>
        <v/>
      </c>
      <c r="H48" s="82" t="str" cm="1">
        <f t="array" ref="H48">IFERROR(SUBSTITUTE(INDEX('Portfolio 3_2'!$O$3:$AK$101,'Portfolio 3_2'!$AP47,6),"+"," "),"")</f>
        <v/>
      </c>
      <c r="I48" s="82" t="str" cm="1">
        <f t="array" ref="I48">IFERROR(INDEX('Portfolio 3_2'!$O$3:$AK$101,'Portfolio 3_2'!$AP47,7),"")</f>
        <v/>
      </c>
      <c r="J48" s="82" t="str" cm="1">
        <f t="array" ref="J48">IFERROR(INDEX('Portfolio 3_2'!$O$3:$AK$101,'Portfolio 3_2'!$AP47,8),"")</f>
        <v/>
      </c>
      <c r="K48" s="82" t="str" cm="1">
        <f t="array" ref="K48">IFERROR(SUBSTITUTE(INDEX('Portfolio 3_2'!$O$3:$AK$101,'Portfolio 3_2'!$AP47,9),"+"," "),"")</f>
        <v/>
      </c>
      <c r="L48" s="82" t="str" cm="1">
        <f t="array" ref="L48">IFERROR(SUBSTITUTE(INDEX('Portfolio 3_2'!$O$3:$AK$101,'Portfolio 3_2'!$AP47,12),"+"," "),"")</f>
        <v/>
      </c>
      <c r="M48" s="82" t="str" cm="1">
        <f t="array" ref="M48">IFERROR(SUBSTITUTE(INDEX('Portfolio 3_2'!$O$3:$AK$101,'Portfolio 3_2'!$AP47,10),"+"," "),"")</f>
        <v/>
      </c>
      <c r="N48" s="82" t="str" cm="1">
        <f t="array" ref="N48">IFERROR(SUBSTITUTE(INDEX('Portfolio 3_2'!$O$3:$AK$101,'Portfolio 3_2'!$AP47,11),"+"," "),"")</f>
        <v/>
      </c>
      <c r="O48" s="82" t="str" cm="1">
        <f t="array" ref="O48">IFERROR(SUBSTITUTE(INDEX('Portfolio 3_2'!$O$3:$AK$101,'Portfolio 3_2'!$AP47,13),"+"," "),"")</f>
        <v/>
      </c>
      <c r="P48" s="82" t="str" cm="1">
        <f t="array" ref="P48">IFERROR(IF(ISNUMBER(FIND("กรุงเทพ",INDEX('Portfolio 3_2'!$O$3:$AK$101,'Portfolio 3_2'!$AP47,14))),"กรุงเทพมหานคร",INDEX('Portfolio 3_2'!$O$3:$AK$101,'Portfolio 3_2'!$AP47,14)),"")</f>
        <v/>
      </c>
      <c r="Q48" s="82" t="str" cm="1">
        <f t="array" ref="Q48">IFERROR(INDEX('Portfolio 3_2'!$O$3:$AK$101,'Portfolio 3_2'!$AP47,15),"")</f>
        <v/>
      </c>
      <c r="R48" s="82" t="str" cm="1">
        <f t="array" ref="R48">IFERROR(TEXT(INDEX('Portfolio 3_2'!$O$3:$AK$101,'Portfolio 3_2'!$AP47,16),"dd/mm/yyyy"),"")</f>
        <v/>
      </c>
      <c r="S48" s="82" t="str" cm="1">
        <f t="array" ref="S48">IFERROR(INDEX('Portfolio 3_2'!$O$3:$AK$101,'Portfolio 3_2'!$AP47,20),"")</f>
        <v/>
      </c>
      <c r="T48" s="82" t="str" cm="1">
        <f t="array" ref="T48">IFERROR(INDEX('Portfolio 3_2'!$O$3:$AK$101,'Portfolio 3_2'!$AP47,17),"")</f>
        <v/>
      </c>
      <c r="U48" s="83" t="str" cm="1">
        <f t="array" ref="U48">IFERROR(INDEX('Portfolio 3_2'!$O$3:$AK$101,'Portfolio 3_2'!$AP47,18),"")</f>
        <v/>
      </c>
      <c r="V48" s="83" t="str" cm="1">
        <f t="array" ref="V48">IFERROR(INDEX('Portfolio 3_2'!$O$3:$AK$101,'Portfolio 3_2'!$AP47,19),"")</f>
        <v/>
      </c>
      <c r="W48" s="1" t="str">
        <f t="shared" si="2"/>
        <v/>
      </c>
    </row>
    <row r="49" spans="1:23">
      <c r="A49" s="92" t="str">
        <f t="shared" si="3"/>
        <v/>
      </c>
      <c r="B49" s="82" t="str" cm="1">
        <f t="array" ref="B49">IFERROR(INDEX('Portfolio 3_2'!$O$3:$AK$101,'Portfolio 3_2'!$AP48,2),"")</f>
        <v/>
      </c>
      <c r="C49" s="82" t="str" cm="1">
        <f t="array" ref="C49">IFERROR(SUBSTITUTE(INDEX('Portfolio 3_2'!$O$3:$AK$101,'Portfolio 3_2'!$AP48,23),"น.ส.","นางสาว"),"")</f>
        <v/>
      </c>
      <c r="D49" s="82" t="str" cm="1">
        <f t="array" ref="D49">IFERROR(INDEX('Portfolio 3_2'!$O$3:$AK$101,'Portfolio 3_2'!$AP48,21),"")</f>
        <v/>
      </c>
      <c r="E49" s="82" t="str" cm="1">
        <f t="array" ref="E49">IFERROR(INDEX('Portfolio 3_2'!$O$3:$AK$101,'Portfolio 3_2'!$AP48,22),"")</f>
        <v/>
      </c>
      <c r="F49" s="82" t="str" cm="1">
        <f t="array" ref="F49">IFERROR(SUBSTITUTE(INDEX('Portfolio 3_2'!$O$3:$AK$101,'Portfolio 3_2'!$AP48,4),"+"," "),"")</f>
        <v/>
      </c>
      <c r="G49" s="82" t="str" cm="1">
        <f t="array" ref="G49">IFERROR(SUBSTITUTE(INDEX('Portfolio 3_2'!$O$3:$AK$101,'Portfolio 3_2'!$AP48,5),"+"," "),"")</f>
        <v/>
      </c>
      <c r="H49" s="82" t="str" cm="1">
        <f t="array" ref="H49">IFERROR(SUBSTITUTE(INDEX('Portfolio 3_2'!$O$3:$AK$101,'Portfolio 3_2'!$AP48,6),"+"," "),"")</f>
        <v/>
      </c>
      <c r="I49" s="82" t="str" cm="1">
        <f t="array" ref="I49">IFERROR(INDEX('Portfolio 3_2'!$O$3:$AK$101,'Portfolio 3_2'!$AP48,7),"")</f>
        <v/>
      </c>
      <c r="J49" s="82" t="str" cm="1">
        <f t="array" ref="J49">IFERROR(INDEX('Portfolio 3_2'!$O$3:$AK$101,'Portfolio 3_2'!$AP48,8),"")</f>
        <v/>
      </c>
      <c r="K49" s="82" t="str" cm="1">
        <f t="array" ref="K49">IFERROR(SUBSTITUTE(INDEX('Portfolio 3_2'!$O$3:$AK$101,'Portfolio 3_2'!$AP48,9),"+"," "),"")</f>
        <v/>
      </c>
      <c r="L49" s="82" t="str" cm="1">
        <f t="array" ref="L49">IFERROR(SUBSTITUTE(INDEX('Portfolio 3_2'!$O$3:$AK$101,'Portfolio 3_2'!$AP48,12),"+"," "),"")</f>
        <v/>
      </c>
      <c r="M49" s="82" t="str" cm="1">
        <f t="array" ref="M49">IFERROR(SUBSTITUTE(INDEX('Portfolio 3_2'!$O$3:$AK$101,'Portfolio 3_2'!$AP48,10),"+"," "),"")</f>
        <v/>
      </c>
      <c r="N49" s="82" t="str" cm="1">
        <f t="array" ref="N49">IFERROR(SUBSTITUTE(INDEX('Portfolio 3_2'!$O$3:$AK$101,'Portfolio 3_2'!$AP48,11),"+"," "),"")</f>
        <v/>
      </c>
      <c r="O49" s="82" t="str" cm="1">
        <f t="array" ref="O49">IFERROR(SUBSTITUTE(INDEX('Portfolio 3_2'!$O$3:$AK$101,'Portfolio 3_2'!$AP48,13),"+"," "),"")</f>
        <v/>
      </c>
      <c r="P49" s="82" t="str" cm="1">
        <f t="array" ref="P49">IFERROR(IF(ISNUMBER(FIND("กรุงเทพ",INDEX('Portfolio 3_2'!$O$3:$AK$101,'Portfolio 3_2'!$AP48,14))),"กรุงเทพมหานคร",INDEX('Portfolio 3_2'!$O$3:$AK$101,'Portfolio 3_2'!$AP48,14)),"")</f>
        <v/>
      </c>
      <c r="Q49" s="82" t="str" cm="1">
        <f t="array" ref="Q49">IFERROR(INDEX('Portfolio 3_2'!$O$3:$AK$101,'Portfolio 3_2'!$AP48,15),"")</f>
        <v/>
      </c>
      <c r="R49" s="82" t="str" cm="1">
        <f t="array" ref="R49">IFERROR(TEXT(INDEX('Portfolio 3_2'!$O$3:$AK$101,'Portfolio 3_2'!$AP48,16),"dd/mm/yyyy"),"")</f>
        <v/>
      </c>
      <c r="S49" s="82" t="str" cm="1">
        <f t="array" ref="S49">IFERROR(INDEX('Portfolio 3_2'!$O$3:$AK$101,'Portfolio 3_2'!$AP48,20),"")</f>
        <v/>
      </c>
      <c r="T49" s="82" t="str" cm="1">
        <f t="array" ref="T49">IFERROR(INDEX('Portfolio 3_2'!$O$3:$AK$101,'Portfolio 3_2'!$AP48,17),"")</f>
        <v/>
      </c>
      <c r="U49" s="83" t="str" cm="1">
        <f t="array" ref="U49">IFERROR(INDEX('Portfolio 3_2'!$O$3:$AK$101,'Portfolio 3_2'!$AP48,18),"")</f>
        <v/>
      </c>
      <c r="V49" s="83" t="str" cm="1">
        <f t="array" ref="V49">IFERROR(INDEX('Portfolio 3_2'!$O$3:$AK$101,'Portfolio 3_2'!$AP48,19),"")</f>
        <v/>
      </c>
      <c r="W49" s="1" t="str">
        <f t="shared" si="2"/>
        <v/>
      </c>
    </row>
    <row r="50" spans="1:23">
      <c r="A50" s="92" t="str">
        <f t="shared" si="3"/>
        <v/>
      </c>
      <c r="B50" s="82" t="str" cm="1">
        <f t="array" ref="B50">IFERROR(INDEX('Portfolio 3_2'!$O$3:$AK$101,'Portfolio 3_2'!$AP49,2),"")</f>
        <v/>
      </c>
      <c r="C50" s="82" t="str" cm="1">
        <f t="array" ref="C50">IFERROR(SUBSTITUTE(INDEX('Portfolio 3_2'!$O$3:$AK$101,'Portfolio 3_2'!$AP49,23),"น.ส.","นางสาว"),"")</f>
        <v/>
      </c>
      <c r="D50" s="82" t="str" cm="1">
        <f t="array" ref="D50">IFERROR(INDEX('Portfolio 3_2'!$O$3:$AK$101,'Portfolio 3_2'!$AP49,21),"")</f>
        <v/>
      </c>
      <c r="E50" s="82" t="str" cm="1">
        <f t="array" ref="E50">IFERROR(INDEX('Portfolio 3_2'!$O$3:$AK$101,'Portfolio 3_2'!$AP49,22),"")</f>
        <v/>
      </c>
      <c r="F50" s="82" t="str" cm="1">
        <f t="array" ref="F50">IFERROR(SUBSTITUTE(INDEX('Portfolio 3_2'!$O$3:$AK$101,'Portfolio 3_2'!$AP49,4),"+"," "),"")</f>
        <v/>
      </c>
      <c r="G50" s="82" t="str" cm="1">
        <f t="array" ref="G50">IFERROR(SUBSTITUTE(INDEX('Portfolio 3_2'!$O$3:$AK$101,'Portfolio 3_2'!$AP49,5),"+"," "),"")</f>
        <v/>
      </c>
      <c r="H50" s="82" t="str" cm="1">
        <f t="array" ref="H50">IFERROR(SUBSTITUTE(INDEX('Portfolio 3_2'!$O$3:$AK$101,'Portfolio 3_2'!$AP49,6),"+"," "),"")</f>
        <v/>
      </c>
      <c r="I50" s="82" t="str" cm="1">
        <f t="array" ref="I50">IFERROR(INDEX('Portfolio 3_2'!$O$3:$AK$101,'Portfolio 3_2'!$AP49,7),"")</f>
        <v/>
      </c>
      <c r="J50" s="82" t="str" cm="1">
        <f t="array" ref="J50">IFERROR(INDEX('Portfolio 3_2'!$O$3:$AK$101,'Portfolio 3_2'!$AP49,8),"")</f>
        <v/>
      </c>
      <c r="K50" s="82" t="str" cm="1">
        <f t="array" ref="K50">IFERROR(SUBSTITUTE(INDEX('Portfolio 3_2'!$O$3:$AK$101,'Portfolio 3_2'!$AP49,9),"+"," "),"")</f>
        <v/>
      </c>
      <c r="L50" s="82" t="str" cm="1">
        <f t="array" ref="L50">IFERROR(SUBSTITUTE(INDEX('Portfolio 3_2'!$O$3:$AK$101,'Portfolio 3_2'!$AP49,12),"+"," "),"")</f>
        <v/>
      </c>
      <c r="M50" s="82" t="str" cm="1">
        <f t="array" ref="M50">IFERROR(SUBSTITUTE(INDEX('Portfolio 3_2'!$O$3:$AK$101,'Portfolio 3_2'!$AP49,10),"+"," "),"")</f>
        <v/>
      </c>
      <c r="N50" s="82" t="str" cm="1">
        <f t="array" ref="N50">IFERROR(SUBSTITUTE(INDEX('Portfolio 3_2'!$O$3:$AK$101,'Portfolio 3_2'!$AP49,11),"+"," "),"")</f>
        <v/>
      </c>
      <c r="O50" s="82" t="str" cm="1">
        <f t="array" ref="O50">IFERROR(SUBSTITUTE(INDEX('Portfolio 3_2'!$O$3:$AK$101,'Portfolio 3_2'!$AP49,13),"+"," "),"")</f>
        <v/>
      </c>
      <c r="P50" s="82" t="str" cm="1">
        <f t="array" ref="P50">IFERROR(IF(ISNUMBER(FIND("กรุงเทพ",INDEX('Portfolio 3_2'!$O$3:$AK$101,'Portfolio 3_2'!$AP49,14))),"กรุงเทพมหานคร",INDEX('Portfolio 3_2'!$O$3:$AK$101,'Portfolio 3_2'!$AP49,14)),"")</f>
        <v/>
      </c>
      <c r="Q50" s="82" t="str" cm="1">
        <f t="array" ref="Q50">IFERROR(INDEX('Portfolio 3_2'!$O$3:$AK$101,'Portfolio 3_2'!$AP49,15),"")</f>
        <v/>
      </c>
      <c r="R50" s="82" t="str" cm="1">
        <f t="array" ref="R50">IFERROR(TEXT(INDEX('Portfolio 3_2'!$O$3:$AK$101,'Portfolio 3_2'!$AP49,16),"dd/mm/yyyy"),"")</f>
        <v/>
      </c>
      <c r="S50" s="82" t="str" cm="1">
        <f t="array" ref="S50">IFERROR(INDEX('Portfolio 3_2'!$O$3:$AK$101,'Portfolio 3_2'!$AP49,20),"")</f>
        <v/>
      </c>
      <c r="T50" s="82" t="str" cm="1">
        <f t="array" ref="T50">IFERROR(INDEX('Portfolio 3_2'!$O$3:$AK$101,'Portfolio 3_2'!$AP49,17),"")</f>
        <v/>
      </c>
      <c r="U50" s="83" t="str" cm="1">
        <f t="array" ref="U50">IFERROR(INDEX('Portfolio 3_2'!$O$3:$AK$101,'Portfolio 3_2'!$AP49,18),"")</f>
        <v/>
      </c>
      <c r="V50" s="83" t="str" cm="1">
        <f t="array" ref="V50">IFERROR(INDEX('Portfolio 3_2'!$O$3:$AK$101,'Portfolio 3_2'!$AP49,19),"")</f>
        <v/>
      </c>
      <c r="W50" s="1" t="str">
        <f t="shared" si="2"/>
        <v/>
      </c>
    </row>
    <row r="51" spans="1:23">
      <c r="A51" s="92" t="str">
        <f t="shared" si="3"/>
        <v/>
      </c>
      <c r="B51" s="82" t="str" cm="1">
        <f t="array" ref="B51">IFERROR(INDEX('Portfolio 3_2'!$O$3:$AK$101,'Portfolio 3_2'!$AP50,2),"")</f>
        <v/>
      </c>
      <c r="C51" s="82" t="str" cm="1">
        <f t="array" ref="C51">IFERROR(SUBSTITUTE(INDEX('Portfolio 3_2'!$O$3:$AK$101,'Portfolio 3_2'!$AP50,23),"น.ส.","นางสาว"),"")</f>
        <v/>
      </c>
      <c r="D51" s="82" t="str" cm="1">
        <f t="array" ref="D51">IFERROR(INDEX('Portfolio 3_2'!$O$3:$AK$101,'Portfolio 3_2'!$AP50,21),"")</f>
        <v/>
      </c>
      <c r="E51" s="82" t="str" cm="1">
        <f t="array" ref="E51">IFERROR(INDEX('Portfolio 3_2'!$O$3:$AK$101,'Portfolio 3_2'!$AP50,22),"")</f>
        <v/>
      </c>
      <c r="F51" s="82" t="str" cm="1">
        <f t="array" ref="F51">IFERROR(SUBSTITUTE(INDEX('Portfolio 3_2'!$O$3:$AK$101,'Portfolio 3_2'!$AP50,4),"+"," "),"")</f>
        <v/>
      </c>
      <c r="G51" s="82" t="str" cm="1">
        <f t="array" ref="G51">IFERROR(SUBSTITUTE(INDEX('Portfolio 3_2'!$O$3:$AK$101,'Portfolio 3_2'!$AP50,5),"+"," "),"")</f>
        <v/>
      </c>
      <c r="H51" s="82" t="str" cm="1">
        <f t="array" ref="H51">IFERROR(SUBSTITUTE(INDEX('Portfolio 3_2'!$O$3:$AK$101,'Portfolio 3_2'!$AP50,6),"+"," "),"")</f>
        <v/>
      </c>
      <c r="I51" s="82" t="str" cm="1">
        <f t="array" ref="I51">IFERROR(INDEX('Portfolio 3_2'!$O$3:$AK$101,'Portfolio 3_2'!$AP50,7),"")</f>
        <v/>
      </c>
      <c r="J51" s="82" t="str" cm="1">
        <f t="array" ref="J51">IFERROR(INDEX('Portfolio 3_2'!$O$3:$AK$101,'Portfolio 3_2'!$AP50,8),"")</f>
        <v/>
      </c>
      <c r="K51" s="82" t="str" cm="1">
        <f t="array" ref="K51">IFERROR(SUBSTITUTE(INDEX('Portfolio 3_2'!$O$3:$AK$101,'Portfolio 3_2'!$AP50,9),"+"," "),"")</f>
        <v/>
      </c>
      <c r="L51" s="82" t="str" cm="1">
        <f t="array" ref="L51">IFERROR(SUBSTITUTE(INDEX('Portfolio 3_2'!$O$3:$AK$101,'Portfolio 3_2'!$AP50,12),"+"," "),"")</f>
        <v/>
      </c>
      <c r="M51" s="82" t="str" cm="1">
        <f t="array" ref="M51">IFERROR(SUBSTITUTE(INDEX('Portfolio 3_2'!$O$3:$AK$101,'Portfolio 3_2'!$AP50,10),"+"," "),"")</f>
        <v/>
      </c>
      <c r="N51" s="82" t="str" cm="1">
        <f t="array" ref="N51">IFERROR(SUBSTITUTE(INDEX('Portfolio 3_2'!$O$3:$AK$101,'Portfolio 3_2'!$AP50,11),"+"," "),"")</f>
        <v/>
      </c>
      <c r="O51" s="82" t="str" cm="1">
        <f t="array" ref="O51">IFERROR(SUBSTITUTE(INDEX('Portfolio 3_2'!$O$3:$AK$101,'Portfolio 3_2'!$AP50,13),"+"," "),"")</f>
        <v/>
      </c>
      <c r="P51" s="82" t="str" cm="1">
        <f t="array" ref="P51">IFERROR(IF(ISNUMBER(FIND("กรุงเทพ",INDEX('Portfolio 3_2'!$O$3:$AK$101,'Portfolio 3_2'!$AP50,14))),"กรุงเทพมหานคร",INDEX('Portfolio 3_2'!$O$3:$AK$101,'Portfolio 3_2'!$AP50,14)),"")</f>
        <v/>
      </c>
      <c r="Q51" s="82" t="str" cm="1">
        <f t="array" ref="Q51">IFERROR(INDEX('Portfolio 3_2'!$O$3:$AK$101,'Portfolio 3_2'!$AP50,15),"")</f>
        <v/>
      </c>
      <c r="R51" s="82" t="str" cm="1">
        <f t="array" ref="R51">IFERROR(TEXT(INDEX('Portfolio 3_2'!$O$3:$AK$101,'Portfolio 3_2'!$AP50,16),"dd/mm/yyyy"),"")</f>
        <v/>
      </c>
      <c r="S51" s="82" t="str" cm="1">
        <f t="array" ref="S51">IFERROR(INDEX('Portfolio 3_2'!$O$3:$AK$101,'Portfolio 3_2'!$AP50,20),"")</f>
        <v/>
      </c>
      <c r="T51" s="82" t="str" cm="1">
        <f t="array" ref="T51">IFERROR(INDEX('Portfolio 3_2'!$O$3:$AK$101,'Portfolio 3_2'!$AP50,17),"")</f>
        <v/>
      </c>
      <c r="U51" s="83" t="str" cm="1">
        <f t="array" ref="U51">IFERROR(INDEX('Portfolio 3_2'!$O$3:$AK$101,'Portfolio 3_2'!$AP50,18),"")</f>
        <v/>
      </c>
      <c r="V51" s="83" t="str" cm="1">
        <f t="array" ref="V51">IFERROR(INDEX('Portfolio 3_2'!$O$3:$AK$101,'Portfolio 3_2'!$AP50,19),"")</f>
        <v/>
      </c>
      <c r="W51" s="1" t="str">
        <f t="shared" si="2"/>
        <v/>
      </c>
    </row>
    <row r="52" spans="1:23">
      <c r="A52" s="92" t="str">
        <f t="shared" si="3"/>
        <v/>
      </c>
      <c r="B52" s="82" t="str" cm="1">
        <f t="array" ref="B52">IFERROR(INDEX('Portfolio 3_2'!$O$3:$AK$101,'Portfolio 3_2'!$AP51,2),"")</f>
        <v/>
      </c>
      <c r="C52" s="82" t="str" cm="1">
        <f t="array" ref="C52">IFERROR(SUBSTITUTE(INDEX('Portfolio 3_2'!$O$3:$AK$101,'Portfolio 3_2'!$AP51,23),"น.ส.","นางสาว"),"")</f>
        <v/>
      </c>
      <c r="D52" s="82" t="str" cm="1">
        <f t="array" ref="D52">IFERROR(INDEX('Portfolio 3_2'!$O$3:$AK$101,'Portfolio 3_2'!$AP51,21),"")</f>
        <v/>
      </c>
      <c r="E52" s="82" t="str" cm="1">
        <f t="array" ref="E52">IFERROR(INDEX('Portfolio 3_2'!$O$3:$AK$101,'Portfolio 3_2'!$AP51,22),"")</f>
        <v/>
      </c>
      <c r="F52" s="82" t="str" cm="1">
        <f t="array" ref="F52">IFERROR(SUBSTITUTE(INDEX('Portfolio 3_2'!$O$3:$AK$101,'Portfolio 3_2'!$AP51,4),"+"," "),"")</f>
        <v/>
      </c>
      <c r="G52" s="82" t="str" cm="1">
        <f t="array" ref="G52">IFERROR(SUBSTITUTE(INDEX('Portfolio 3_2'!$O$3:$AK$101,'Portfolio 3_2'!$AP51,5),"+"," "),"")</f>
        <v/>
      </c>
      <c r="H52" s="82" t="str" cm="1">
        <f t="array" ref="H52">IFERROR(SUBSTITUTE(INDEX('Portfolio 3_2'!$O$3:$AK$101,'Portfolio 3_2'!$AP51,6),"+"," "),"")</f>
        <v/>
      </c>
      <c r="I52" s="82" t="str" cm="1">
        <f t="array" ref="I52">IFERROR(INDEX('Portfolio 3_2'!$O$3:$AK$101,'Portfolio 3_2'!$AP51,7),"")</f>
        <v/>
      </c>
      <c r="J52" s="82" t="str" cm="1">
        <f t="array" ref="J52">IFERROR(INDEX('Portfolio 3_2'!$O$3:$AK$101,'Portfolio 3_2'!$AP51,8),"")</f>
        <v/>
      </c>
      <c r="K52" s="82" t="str" cm="1">
        <f t="array" ref="K52">IFERROR(SUBSTITUTE(INDEX('Portfolio 3_2'!$O$3:$AK$101,'Portfolio 3_2'!$AP51,9),"+"," "),"")</f>
        <v/>
      </c>
      <c r="L52" s="82" t="str" cm="1">
        <f t="array" ref="L52">IFERROR(SUBSTITUTE(INDEX('Portfolio 3_2'!$O$3:$AK$101,'Portfolio 3_2'!$AP51,12),"+"," "),"")</f>
        <v/>
      </c>
      <c r="M52" s="82" t="str" cm="1">
        <f t="array" ref="M52">IFERROR(SUBSTITUTE(INDEX('Portfolio 3_2'!$O$3:$AK$101,'Portfolio 3_2'!$AP51,10),"+"," "),"")</f>
        <v/>
      </c>
      <c r="N52" s="82" t="str" cm="1">
        <f t="array" ref="N52">IFERROR(SUBSTITUTE(INDEX('Portfolio 3_2'!$O$3:$AK$101,'Portfolio 3_2'!$AP51,11),"+"," "),"")</f>
        <v/>
      </c>
      <c r="O52" s="82" t="str" cm="1">
        <f t="array" ref="O52">IFERROR(SUBSTITUTE(INDEX('Portfolio 3_2'!$O$3:$AK$101,'Portfolio 3_2'!$AP51,13),"+"," "),"")</f>
        <v/>
      </c>
      <c r="P52" s="82" t="str" cm="1">
        <f t="array" ref="P52">IFERROR(IF(ISNUMBER(FIND("กรุงเทพ",INDEX('Portfolio 3_2'!$O$3:$AK$101,'Portfolio 3_2'!$AP51,14))),"กรุงเทพมหานคร",INDEX('Portfolio 3_2'!$O$3:$AK$101,'Portfolio 3_2'!$AP51,14)),"")</f>
        <v/>
      </c>
      <c r="Q52" s="82" t="str" cm="1">
        <f t="array" ref="Q52">IFERROR(INDEX('Portfolio 3_2'!$O$3:$AK$101,'Portfolio 3_2'!$AP51,15),"")</f>
        <v/>
      </c>
      <c r="R52" s="82" t="str" cm="1">
        <f t="array" ref="R52">IFERROR(TEXT(INDEX('Portfolio 3_2'!$O$3:$AK$101,'Portfolio 3_2'!$AP51,16),"dd/mm/yyyy"),"")</f>
        <v/>
      </c>
      <c r="S52" s="82" t="str" cm="1">
        <f t="array" ref="S52">IFERROR(INDEX('Portfolio 3_2'!$O$3:$AK$101,'Portfolio 3_2'!$AP51,20),"")</f>
        <v/>
      </c>
      <c r="T52" s="82" t="str" cm="1">
        <f t="array" ref="T52">IFERROR(INDEX('Portfolio 3_2'!$O$3:$AK$101,'Portfolio 3_2'!$AP51,17),"")</f>
        <v/>
      </c>
      <c r="U52" s="83" t="str" cm="1">
        <f t="array" ref="U52">IFERROR(INDEX('Portfolio 3_2'!$O$3:$AK$101,'Portfolio 3_2'!$AP51,18),"")</f>
        <v/>
      </c>
      <c r="V52" s="83" t="str" cm="1">
        <f t="array" ref="V52">IFERROR(INDEX('Portfolio 3_2'!$O$3:$AK$101,'Portfolio 3_2'!$AP51,19),"")</f>
        <v/>
      </c>
      <c r="W52" s="1" t="str">
        <f t="shared" si="2"/>
        <v/>
      </c>
    </row>
    <row r="53" spans="1:23">
      <c r="A53" s="92" t="str">
        <f t="shared" si="3"/>
        <v/>
      </c>
      <c r="B53" s="82" t="str" cm="1">
        <f t="array" ref="B53">IFERROR(INDEX('Portfolio 3_2'!$O$3:$AK$101,'Portfolio 3_2'!$AP52,2),"")</f>
        <v/>
      </c>
      <c r="C53" s="82" t="str" cm="1">
        <f t="array" ref="C53">IFERROR(SUBSTITUTE(INDEX('Portfolio 3_2'!$O$3:$AK$101,'Portfolio 3_2'!$AP52,23),"น.ส.","นางสาว"),"")</f>
        <v/>
      </c>
      <c r="D53" s="82" t="str" cm="1">
        <f t="array" ref="D53">IFERROR(INDEX('Portfolio 3_2'!$O$3:$AK$101,'Portfolio 3_2'!$AP52,21),"")</f>
        <v/>
      </c>
      <c r="E53" s="82" t="str" cm="1">
        <f t="array" ref="E53">IFERROR(INDEX('Portfolio 3_2'!$O$3:$AK$101,'Portfolio 3_2'!$AP52,22),"")</f>
        <v/>
      </c>
      <c r="F53" s="82" t="str" cm="1">
        <f t="array" ref="F53">IFERROR(SUBSTITUTE(INDEX('Portfolio 3_2'!$O$3:$AK$101,'Portfolio 3_2'!$AP52,4),"+"," "),"")</f>
        <v/>
      </c>
      <c r="G53" s="82" t="str" cm="1">
        <f t="array" ref="G53">IFERROR(SUBSTITUTE(INDEX('Portfolio 3_2'!$O$3:$AK$101,'Portfolio 3_2'!$AP52,5),"+"," "),"")</f>
        <v/>
      </c>
      <c r="H53" s="82" t="str" cm="1">
        <f t="array" ref="H53">IFERROR(SUBSTITUTE(INDEX('Portfolio 3_2'!$O$3:$AK$101,'Portfolio 3_2'!$AP52,6),"+"," "),"")</f>
        <v/>
      </c>
      <c r="I53" s="82" t="str" cm="1">
        <f t="array" ref="I53">IFERROR(INDEX('Portfolio 3_2'!$O$3:$AK$101,'Portfolio 3_2'!$AP52,7),"")</f>
        <v/>
      </c>
      <c r="J53" s="82" t="str" cm="1">
        <f t="array" ref="J53">IFERROR(INDEX('Portfolio 3_2'!$O$3:$AK$101,'Portfolio 3_2'!$AP52,8),"")</f>
        <v/>
      </c>
      <c r="K53" s="82" t="str" cm="1">
        <f t="array" ref="K53">IFERROR(SUBSTITUTE(INDEX('Portfolio 3_2'!$O$3:$AK$101,'Portfolio 3_2'!$AP52,9),"+"," "),"")</f>
        <v/>
      </c>
      <c r="L53" s="82" t="str" cm="1">
        <f t="array" ref="L53">IFERROR(SUBSTITUTE(INDEX('Portfolio 3_2'!$O$3:$AK$101,'Portfolio 3_2'!$AP52,12),"+"," "),"")</f>
        <v/>
      </c>
      <c r="M53" s="82" t="str" cm="1">
        <f t="array" ref="M53">IFERROR(SUBSTITUTE(INDEX('Portfolio 3_2'!$O$3:$AK$101,'Portfolio 3_2'!$AP52,10),"+"," "),"")</f>
        <v/>
      </c>
      <c r="N53" s="82" t="str" cm="1">
        <f t="array" ref="N53">IFERROR(SUBSTITUTE(INDEX('Portfolio 3_2'!$O$3:$AK$101,'Portfolio 3_2'!$AP52,11),"+"," "),"")</f>
        <v/>
      </c>
      <c r="O53" s="82" t="str" cm="1">
        <f t="array" ref="O53">IFERROR(SUBSTITUTE(INDEX('Portfolio 3_2'!$O$3:$AK$101,'Portfolio 3_2'!$AP52,13),"+"," "),"")</f>
        <v/>
      </c>
      <c r="P53" s="82" t="str" cm="1">
        <f t="array" ref="P53">IFERROR(IF(ISNUMBER(FIND("กรุงเทพ",INDEX('Portfolio 3_2'!$O$3:$AK$101,'Portfolio 3_2'!$AP52,14))),"กรุงเทพมหานคร",INDEX('Portfolio 3_2'!$O$3:$AK$101,'Portfolio 3_2'!$AP52,14)),"")</f>
        <v/>
      </c>
      <c r="Q53" s="82" t="str" cm="1">
        <f t="array" ref="Q53">IFERROR(INDEX('Portfolio 3_2'!$O$3:$AK$101,'Portfolio 3_2'!$AP52,15),"")</f>
        <v/>
      </c>
      <c r="R53" s="82" t="str" cm="1">
        <f t="array" ref="R53">IFERROR(TEXT(INDEX('Portfolio 3_2'!$O$3:$AK$101,'Portfolio 3_2'!$AP52,16),"dd/mm/yyyy"),"")</f>
        <v/>
      </c>
      <c r="S53" s="82" t="str" cm="1">
        <f t="array" ref="S53">IFERROR(INDEX('Portfolio 3_2'!$O$3:$AK$101,'Portfolio 3_2'!$AP52,20),"")</f>
        <v/>
      </c>
      <c r="T53" s="82" t="str" cm="1">
        <f t="array" ref="T53">IFERROR(INDEX('Portfolio 3_2'!$O$3:$AK$101,'Portfolio 3_2'!$AP52,17),"")</f>
        <v/>
      </c>
      <c r="U53" s="83" t="str" cm="1">
        <f t="array" ref="U53">IFERROR(INDEX('Portfolio 3_2'!$O$3:$AK$101,'Portfolio 3_2'!$AP52,18),"")</f>
        <v/>
      </c>
      <c r="V53" s="83" t="str" cm="1">
        <f t="array" ref="V53">IFERROR(INDEX('Portfolio 3_2'!$O$3:$AK$101,'Portfolio 3_2'!$AP52,19),"")</f>
        <v/>
      </c>
      <c r="W53" s="1" t="str">
        <f t="shared" si="2"/>
        <v/>
      </c>
    </row>
    <row r="54" spans="1:23">
      <c r="A54" s="92" t="str">
        <f t="shared" si="3"/>
        <v/>
      </c>
      <c r="B54" s="82" t="str" cm="1">
        <f t="array" ref="B54">IFERROR(INDEX('Portfolio 3_2'!$O$3:$AK$101,'Portfolio 3_2'!$AP53,2),"")</f>
        <v/>
      </c>
      <c r="C54" s="82" t="str" cm="1">
        <f t="array" ref="C54">IFERROR(SUBSTITUTE(INDEX('Portfolio 3_2'!$O$3:$AK$101,'Portfolio 3_2'!$AP53,23),"น.ส.","นางสาว"),"")</f>
        <v/>
      </c>
      <c r="D54" s="82" t="str" cm="1">
        <f t="array" ref="D54">IFERROR(INDEX('Portfolio 3_2'!$O$3:$AK$101,'Portfolio 3_2'!$AP53,21),"")</f>
        <v/>
      </c>
      <c r="E54" s="82" t="str" cm="1">
        <f t="array" ref="E54">IFERROR(INDEX('Portfolio 3_2'!$O$3:$AK$101,'Portfolio 3_2'!$AP53,22),"")</f>
        <v/>
      </c>
      <c r="F54" s="82" t="str" cm="1">
        <f t="array" ref="F54">IFERROR(SUBSTITUTE(INDEX('Portfolio 3_2'!$O$3:$AK$101,'Portfolio 3_2'!$AP53,4),"+"," "),"")</f>
        <v/>
      </c>
      <c r="G54" s="82" t="str" cm="1">
        <f t="array" ref="G54">IFERROR(SUBSTITUTE(INDEX('Portfolio 3_2'!$O$3:$AK$101,'Portfolio 3_2'!$AP53,5),"+"," "),"")</f>
        <v/>
      </c>
      <c r="H54" s="82" t="str" cm="1">
        <f t="array" ref="H54">IFERROR(SUBSTITUTE(INDEX('Portfolio 3_2'!$O$3:$AK$101,'Portfolio 3_2'!$AP53,6),"+"," "),"")</f>
        <v/>
      </c>
      <c r="I54" s="82" t="str" cm="1">
        <f t="array" ref="I54">IFERROR(INDEX('Portfolio 3_2'!$O$3:$AK$101,'Portfolio 3_2'!$AP53,7),"")</f>
        <v/>
      </c>
      <c r="J54" s="82" t="str" cm="1">
        <f t="array" ref="J54">IFERROR(INDEX('Portfolio 3_2'!$O$3:$AK$101,'Portfolio 3_2'!$AP53,8),"")</f>
        <v/>
      </c>
      <c r="K54" s="82" t="str" cm="1">
        <f t="array" ref="K54">IFERROR(SUBSTITUTE(INDEX('Portfolio 3_2'!$O$3:$AK$101,'Portfolio 3_2'!$AP53,9),"+"," "),"")</f>
        <v/>
      </c>
      <c r="L54" s="82" t="str" cm="1">
        <f t="array" ref="L54">IFERROR(SUBSTITUTE(INDEX('Portfolio 3_2'!$O$3:$AK$101,'Portfolio 3_2'!$AP53,12),"+"," "),"")</f>
        <v/>
      </c>
      <c r="M54" s="82" t="str" cm="1">
        <f t="array" ref="M54">IFERROR(SUBSTITUTE(INDEX('Portfolio 3_2'!$O$3:$AK$101,'Portfolio 3_2'!$AP53,10),"+"," "),"")</f>
        <v/>
      </c>
      <c r="N54" s="82" t="str" cm="1">
        <f t="array" ref="N54">IFERROR(SUBSTITUTE(INDEX('Portfolio 3_2'!$O$3:$AK$101,'Portfolio 3_2'!$AP53,11),"+"," "),"")</f>
        <v/>
      </c>
      <c r="O54" s="82" t="str" cm="1">
        <f t="array" ref="O54">IFERROR(SUBSTITUTE(INDEX('Portfolio 3_2'!$O$3:$AK$101,'Portfolio 3_2'!$AP53,13),"+"," "),"")</f>
        <v/>
      </c>
      <c r="P54" s="82" t="str" cm="1">
        <f t="array" ref="P54">IFERROR(IF(ISNUMBER(FIND("กรุงเทพ",INDEX('Portfolio 3_2'!$O$3:$AK$101,'Portfolio 3_2'!$AP53,14))),"กรุงเทพมหานคร",INDEX('Portfolio 3_2'!$O$3:$AK$101,'Portfolio 3_2'!$AP53,14)),"")</f>
        <v/>
      </c>
      <c r="Q54" s="82" t="str" cm="1">
        <f t="array" ref="Q54">IFERROR(INDEX('Portfolio 3_2'!$O$3:$AK$101,'Portfolio 3_2'!$AP53,15),"")</f>
        <v/>
      </c>
      <c r="R54" s="82" t="str" cm="1">
        <f t="array" ref="R54">IFERROR(TEXT(INDEX('Portfolio 3_2'!$O$3:$AK$101,'Portfolio 3_2'!$AP53,16),"dd/mm/yyyy"),"")</f>
        <v/>
      </c>
      <c r="S54" s="82" t="str" cm="1">
        <f t="array" ref="S54">IFERROR(INDEX('Portfolio 3_2'!$O$3:$AK$101,'Portfolio 3_2'!$AP53,20),"")</f>
        <v/>
      </c>
      <c r="T54" s="82" t="str" cm="1">
        <f t="array" ref="T54">IFERROR(INDEX('Portfolio 3_2'!$O$3:$AK$101,'Portfolio 3_2'!$AP53,17),"")</f>
        <v/>
      </c>
      <c r="U54" s="83" t="str" cm="1">
        <f t="array" ref="U54">IFERROR(INDEX('Portfolio 3_2'!$O$3:$AK$101,'Portfolio 3_2'!$AP53,18),"")</f>
        <v/>
      </c>
      <c r="V54" s="83" t="str" cm="1">
        <f t="array" ref="V54">IFERROR(INDEX('Portfolio 3_2'!$O$3:$AK$101,'Portfolio 3_2'!$AP53,19),"")</f>
        <v/>
      </c>
      <c r="W54" s="1" t="str">
        <f t="shared" si="2"/>
        <v/>
      </c>
    </row>
    <row r="55" spans="1:23">
      <c r="A55" s="92" t="str">
        <f t="shared" si="3"/>
        <v/>
      </c>
      <c r="B55" s="82" t="str" cm="1">
        <f t="array" ref="B55">IFERROR(INDEX('Portfolio 3_2'!$O$3:$AK$101,'Portfolio 3_2'!$AP54,2),"")</f>
        <v/>
      </c>
      <c r="C55" s="82" t="str" cm="1">
        <f t="array" ref="C55">IFERROR(SUBSTITUTE(INDEX('Portfolio 3_2'!$O$3:$AK$101,'Portfolio 3_2'!$AP54,23),"น.ส.","นางสาว"),"")</f>
        <v/>
      </c>
      <c r="D55" s="82" t="str" cm="1">
        <f t="array" ref="D55">IFERROR(INDEX('Portfolio 3_2'!$O$3:$AK$101,'Portfolio 3_2'!$AP54,21),"")</f>
        <v/>
      </c>
      <c r="E55" s="82" t="str" cm="1">
        <f t="array" ref="E55">IFERROR(INDEX('Portfolio 3_2'!$O$3:$AK$101,'Portfolio 3_2'!$AP54,22),"")</f>
        <v/>
      </c>
      <c r="F55" s="82" t="str" cm="1">
        <f t="array" ref="F55">IFERROR(SUBSTITUTE(INDEX('Portfolio 3_2'!$O$3:$AK$101,'Portfolio 3_2'!$AP54,4),"+"," "),"")</f>
        <v/>
      </c>
      <c r="G55" s="82" t="str" cm="1">
        <f t="array" ref="G55">IFERROR(SUBSTITUTE(INDEX('Portfolio 3_2'!$O$3:$AK$101,'Portfolio 3_2'!$AP54,5),"+"," "),"")</f>
        <v/>
      </c>
      <c r="H55" s="82" t="str" cm="1">
        <f t="array" ref="H55">IFERROR(SUBSTITUTE(INDEX('Portfolio 3_2'!$O$3:$AK$101,'Portfolio 3_2'!$AP54,6),"+"," "),"")</f>
        <v/>
      </c>
      <c r="I55" s="82" t="str" cm="1">
        <f t="array" ref="I55">IFERROR(INDEX('Portfolio 3_2'!$O$3:$AK$101,'Portfolio 3_2'!$AP54,7),"")</f>
        <v/>
      </c>
      <c r="J55" s="82" t="str" cm="1">
        <f t="array" ref="J55">IFERROR(INDEX('Portfolio 3_2'!$O$3:$AK$101,'Portfolio 3_2'!$AP54,8),"")</f>
        <v/>
      </c>
      <c r="K55" s="82" t="str" cm="1">
        <f t="array" ref="K55">IFERROR(SUBSTITUTE(INDEX('Portfolio 3_2'!$O$3:$AK$101,'Portfolio 3_2'!$AP54,9),"+"," "),"")</f>
        <v/>
      </c>
      <c r="L55" s="82" t="str" cm="1">
        <f t="array" ref="L55">IFERROR(SUBSTITUTE(INDEX('Portfolio 3_2'!$O$3:$AK$101,'Portfolio 3_2'!$AP54,12),"+"," "),"")</f>
        <v/>
      </c>
      <c r="M55" s="82" t="str" cm="1">
        <f t="array" ref="M55">IFERROR(SUBSTITUTE(INDEX('Portfolio 3_2'!$O$3:$AK$101,'Portfolio 3_2'!$AP54,10),"+"," "),"")</f>
        <v/>
      </c>
      <c r="N55" s="82" t="str" cm="1">
        <f t="array" ref="N55">IFERROR(SUBSTITUTE(INDEX('Portfolio 3_2'!$O$3:$AK$101,'Portfolio 3_2'!$AP54,11),"+"," "),"")</f>
        <v/>
      </c>
      <c r="O55" s="82" t="str" cm="1">
        <f t="array" ref="O55">IFERROR(SUBSTITUTE(INDEX('Portfolio 3_2'!$O$3:$AK$101,'Portfolio 3_2'!$AP54,13),"+"," "),"")</f>
        <v/>
      </c>
      <c r="P55" s="82" t="str" cm="1">
        <f t="array" ref="P55">IFERROR(IF(ISNUMBER(FIND("กรุงเทพ",INDEX('Portfolio 3_2'!$O$3:$AK$101,'Portfolio 3_2'!$AP54,14))),"กรุงเทพมหานคร",INDEX('Portfolio 3_2'!$O$3:$AK$101,'Portfolio 3_2'!$AP54,14)),"")</f>
        <v/>
      </c>
      <c r="Q55" s="82" t="str" cm="1">
        <f t="array" ref="Q55">IFERROR(INDEX('Portfolio 3_2'!$O$3:$AK$101,'Portfolio 3_2'!$AP54,15),"")</f>
        <v/>
      </c>
      <c r="R55" s="82" t="str" cm="1">
        <f t="array" ref="R55">IFERROR(TEXT(INDEX('Portfolio 3_2'!$O$3:$AK$101,'Portfolio 3_2'!$AP54,16),"dd/mm/yyyy"),"")</f>
        <v/>
      </c>
      <c r="S55" s="82" t="str" cm="1">
        <f t="array" ref="S55">IFERROR(INDEX('Portfolio 3_2'!$O$3:$AK$101,'Portfolio 3_2'!$AP54,20),"")</f>
        <v/>
      </c>
      <c r="T55" s="82" t="str" cm="1">
        <f t="array" ref="T55">IFERROR(INDEX('Portfolio 3_2'!$O$3:$AK$101,'Portfolio 3_2'!$AP54,17),"")</f>
        <v/>
      </c>
      <c r="U55" s="83" t="str" cm="1">
        <f t="array" ref="U55">IFERROR(INDEX('Portfolio 3_2'!$O$3:$AK$101,'Portfolio 3_2'!$AP54,18),"")</f>
        <v/>
      </c>
      <c r="V55" s="83" t="str" cm="1">
        <f t="array" ref="V55">IFERROR(INDEX('Portfolio 3_2'!$O$3:$AK$101,'Portfolio 3_2'!$AP54,19),"")</f>
        <v/>
      </c>
      <c r="W55" s="1" t="str">
        <f t="shared" si="2"/>
        <v/>
      </c>
    </row>
    <row r="56" spans="1:23">
      <c r="A56" s="92" t="str">
        <f t="shared" si="3"/>
        <v/>
      </c>
      <c r="B56" s="82" t="str" cm="1">
        <f t="array" ref="B56">IFERROR(INDEX('Portfolio 3_2'!$O$3:$AK$101,'Portfolio 3_2'!$AP55,2),"")</f>
        <v/>
      </c>
      <c r="C56" s="82" t="str" cm="1">
        <f t="array" ref="C56">IFERROR(SUBSTITUTE(INDEX('Portfolio 3_2'!$O$3:$AK$101,'Portfolio 3_2'!$AP55,23),"น.ส.","นางสาว"),"")</f>
        <v/>
      </c>
      <c r="D56" s="82" t="str" cm="1">
        <f t="array" ref="D56">IFERROR(INDEX('Portfolio 3_2'!$O$3:$AK$101,'Portfolio 3_2'!$AP55,21),"")</f>
        <v/>
      </c>
      <c r="E56" s="82" t="str" cm="1">
        <f t="array" ref="E56">IFERROR(INDEX('Portfolio 3_2'!$O$3:$AK$101,'Portfolio 3_2'!$AP55,22),"")</f>
        <v/>
      </c>
      <c r="F56" s="82" t="str" cm="1">
        <f t="array" ref="F56">IFERROR(SUBSTITUTE(INDEX('Portfolio 3_2'!$O$3:$AK$101,'Portfolio 3_2'!$AP55,4),"+"," "),"")</f>
        <v/>
      </c>
      <c r="G56" s="82" t="str" cm="1">
        <f t="array" ref="G56">IFERROR(SUBSTITUTE(INDEX('Portfolio 3_2'!$O$3:$AK$101,'Portfolio 3_2'!$AP55,5),"+"," "),"")</f>
        <v/>
      </c>
      <c r="H56" s="82" t="str" cm="1">
        <f t="array" ref="H56">IFERROR(SUBSTITUTE(INDEX('Portfolio 3_2'!$O$3:$AK$101,'Portfolio 3_2'!$AP55,6),"+"," "),"")</f>
        <v/>
      </c>
      <c r="I56" s="82" t="str" cm="1">
        <f t="array" ref="I56">IFERROR(INDEX('Portfolio 3_2'!$O$3:$AK$101,'Portfolio 3_2'!$AP55,7),"")</f>
        <v/>
      </c>
      <c r="J56" s="82" t="str" cm="1">
        <f t="array" ref="J56">IFERROR(INDEX('Portfolio 3_2'!$O$3:$AK$101,'Portfolio 3_2'!$AP55,8),"")</f>
        <v/>
      </c>
      <c r="K56" s="82" t="str" cm="1">
        <f t="array" ref="K56">IFERROR(SUBSTITUTE(INDEX('Portfolio 3_2'!$O$3:$AK$101,'Portfolio 3_2'!$AP55,9),"+"," "),"")</f>
        <v/>
      </c>
      <c r="L56" s="82" t="str" cm="1">
        <f t="array" ref="L56">IFERROR(SUBSTITUTE(INDEX('Portfolio 3_2'!$O$3:$AK$101,'Portfolio 3_2'!$AP55,12),"+"," "),"")</f>
        <v/>
      </c>
      <c r="M56" s="82" t="str" cm="1">
        <f t="array" ref="M56">IFERROR(SUBSTITUTE(INDEX('Portfolio 3_2'!$O$3:$AK$101,'Portfolio 3_2'!$AP55,10),"+"," "),"")</f>
        <v/>
      </c>
      <c r="N56" s="82" t="str" cm="1">
        <f t="array" ref="N56">IFERROR(SUBSTITUTE(INDEX('Portfolio 3_2'!$O$3:$AK$101,'Portfolio 3_2'!$AP55,11),"+"," "),"")</f>
        <v/>
      </c>
      <c r="O56" s="82" t="str" cm="1">
        <f t="array" ref="O56">IFERROR(SUBSTITUTE(INDEX('Portfolio 3_2'!$O$3:$AK$101,'Portfolio 3_2'!$AP55,13),"+"," "),"")</f>
        <v/>
      </c>
      <c r="P56" s="82" t="str" cm="1">
        <f t="array" ref="P56">IFERROR(IF(ISNUMBER(FIND("กรุงเทพ",INDEX('Portfolio 3_2'!$O$3:$AK$101,'Portfolio 3_2'!$AP55,14))),"กรุงเทพมหานคร",INDEX('Portfolio 3_2'!$O$3:$AK$101,'Portfolio 3_2'!$AP55,14)),"")</f>
        <v/>
      </c>
      <c r="Q56" s="82" t="str" cm="1">
        <f t="array" ref="Q56">IFERROR(INDEX('Portfolio 3_2'!$O$3:$AK$101,'Portfolio 3_2'!$AP55,15),"")</f>
        <v/>
      </c>
      <c r="R56" s="82" t="str" cm="1">
        <f t="array" ref="R56">IFERROR(TEXT(INDEX('Portfolio 3_2'!$O$3:$AK$101,'Portfolio 3_2'!$AP55,16),"dd/mm/yyyy"),"")</f>
        <v/>
      </c>
      <c r="S56" s="82" t="str" cm="1">
        <f t="array" ref="S56">IFERROR(INDEX('Portfolio 3_2'!$O$3:$AK$101,'Portfolio 3_2'!$AP55,20),"")</f>
        <v/>
      </c>
      <c r="T56" s="82" t="str" cm="1">
        <f t="array" ref="T56">IFERROR(INDEX('Portfolio 3_2'!$O$3:$AK$101,'Portfolio 3_2'!$AP55,17),"")</f>
        <v/>
      </c>
      <c r="U56" s="83" t="str" cm="1">
        <f t="array" ref="U56">IFERROR(INDEX('Portfolio 3_2'!$O$3:$AK$101,'Portfolio 3_2'!$AP55,18),"")</f>
        <v/>
      </c>
      <c r="V56" s="83" t="str" cm="1">
        <f t="array" ref="V56">IFERROR(INDEX('Portfolio 3_2'!$O$3:$AK$101,'Portfolio 3_2'!$AP55,19),"")</f>
        <v/>
      </c>
      <c r="W56" s="1" t="str">
        <f t="shared" si="2"/>
        <v/>
      </c>
    </row>
    <row r="57" spans="1:23">
      <c r="A57" s="92" t="str">
        <f t="shared" si="3"/>
        <v/>
      </c>
      <c r="B57" s="82" t="str" cm="1">
        <f t="array" ref="B57">IFERROR(INDEX('Portfolio 3_2'!$O$3:$AK$101,'Portfolio 3_2'!$AP56,2),"")</f>
        <v/>
      </c>
      <c r="C57" s="82" t="str" cm="1">
        <f t="array" ref="C57">IFERROR(SUBSTITUTE(INDEX('Portfolio 3_2'!$O$3:$AK$101,'Portfolio 3_2'!$AP56,23),"น.ส.","นางสาว"),"")</f>
        <v/>
      </c>
      <c r="D57" s="82" t="str" cm="1">
        <f t="array" ref="D57">IFERROR(INDEX('Portfolio 3_2'!$O$3:$AK$101,'Portfolio 3_2'!$AP56,21),"")</f>
        <v/>
      </c>
      <c r="E57" s="82" t="str" cm="1">
        <f t="array" ref="E57">IFERROR(INDEX('Portfolio 3_2'!$O$3:$AK$101,'Portfolio 3_2'!$AP56,22),"")</f>
        <v/>
      </c>
      <c r="F57" s="82" t="str" cm="1">
        <f t="array" ref="F57">IFERROR(SUBSTITUTE(INDEX('Portfolio 3_2'!$O$3:$AK$101,'Portfolio 3_2'!$AP56,4),"+"," "),"")</f>
        <v/>
      </c>
      <c r="G57" s="82" t="str" cm="1">
        <f t="array" ref="G57">IFERROR(SUBSTITUTE(INDEX('Portfolio 3_2'!$O$3:$AK$101,'Portfolio 3_2'!$AP56,5),"+"," "),"")</f>
        <v/>
      </c>
      <c r="H57" s="82" t="str" cm="1">
        <f t="array" ref="H57">IFERROR(SUBSTITUTE(INDEX('Portfolio 3_2'!$O$3:$AK$101,'Portfolio 3_2'!$AP56,6),"+"," "),"")</f>
        <v/>
      </c>
      <c r="I57" s="82" t="str" cm="1">
        <f t="array" ref="I57">IFERROR(INDEX('Portfolio 3_2'!$O$3:$AK$101,'Portfolio 3_2'!$AP56,7),"")</f>
        <v/>
      </c>
      <c r="J57" s="82" t="str" cm="1">
        <f t="array" ref="J57">IFERROR(INDEX('Portfolio 3_2'!$O$3:$AK$101,'Portfolio 3_2'!$AP56,8),"")</f>
        <v/>
      </c>
      <c r="K57" s="82" t="str" cm="1">
        <f t="array" ref="K57">IFERROR(SUBSTITUTE(INDEX('Portfolio 3_2'!$O$3:$AK$101,'Portfolio 3_2'!$AP56,9),"+"," "),"")</f>
        <v/>
      </c>
      <c r="L57" s="82" t="str" cm="1">
        <f t="array" ref="L57">IFERROR(SUBSTITUTE(INDEX('Portfolio 3_2'!$O$3:$AK$101,'Portfolio 3_2'!$AP56,12),"+"," "),"")</f>
        <v/>
      </c>
      <c r="M57" s="82" t="str" cm="1">
        <f t="array" ref="M57">IFERROR(SUBSTITUTE(INDEX('Portfolio 3_2'!$O$3:$AK$101,'Portfolio 3_2'!$AP56,10),"+"," "),"")</f>
        <v/>
      </c>
      <c r="N57" s="82" t="str" cm="1">
        <f t="array" ref="N57">IFERROR(SUBSTITUTE(INDEX('Portfolio 3_2'!$O$3:$AK$101,'Portfolio 3_2'!$AP56,11),"+"," "),"")</f>
        <v/>
      </c>
      <c r="O57" s="82" t="str" cm="1">
        <f t="array" ref="O57">IFERROR(SUBSTITUTE(INDEX('Portfolio 3_2'!$O$3:$AK$101,'Portfolio 3_2'!$AP56,13),"+"," "),"")</f>
        <v/>
      </c>
      <c r="P57" s="82" t="str" cm="1">
        <f t="array" ref="P57">IFERROR(IF(ISNUMBER(FIND("กรุงเทพ",INDEX('Portfolio 3_2'!$O$3:$AK$101,'Portfolio 3_2'!$AP56,14))),"กรุงเทพมหานคร",INDEX('Portfolio 3_2'!$O$3:$AK$101,'Portfolio 3_2'!$AP56,14)),"")</f>
        <v/>
      </c>
      <c r="Q57" s="82" t="str" cm="1">
        <f t="array" ref="Q57">IFERROR(INDEX('Portfolio 3_2'!$O$3:$AK$101,'Portfolio 3_2'!$AP56,15),"")</f>
        <v/>
      </c>
      <c r="R57" s="82" t="str" cm="1">
        <f t="array" ref="R57">IFERROR(TEXT(INDEX('Portfolio 3_2'!$O$3:$AK$101,'Portfolio 3_2'!$AP56,16),"dd/mm/yyyy"),"")</f>
        <v/>
      </c>
      <c r="S57" s="82" t="str" cm="1">
        <f t="array" ref="S57">IFERROR(INDEX('Portfolio 3_2'!$O$3:$AK$101,'Portfolio 3_2'!$AP56,20),"")</f>
        <v/>
      </c>
      <c r="T57" s="82" t="str" cm="1">
        <f t="array" ref="T57">IFERROR(INDEX('Portfolio 3_2'!$O$3:$AK$101,'Portfolio 3_2'!$AP56,17),"")</f>
        <v/>
      </c>
      <c r="U57" s="83" t="str" cm="1">
        <f t="array" ref="U57">IFERROR(INDEX('Portfolio 3_2'!$O$3:$AK$101,'Portfolio 3_2'!$AP56,18),"")</f>
        <v/>
      </c>
      <c r="V57" s="83" t="str" cm="1">
        <f t="array" ref="V57">IFERROR(INDEX('Portfolio 3_2'!$O$3:$AK$101,'Portfolio 3_2'!$AP56,19),"")</f>
        <v/>
      </c>
      <c r="W57" s="1" t="str">
        <f t="shared" si="2"/>
        <v/>
      </c>
    </row>
    <row r="58" spans="1:23">
      <c r="A58" s="92" t="str">
        <f t="shared" si="3"/>
        <v/>
      </c>
      <c r="B58" s="82" t="str" cm="1">
        <f t="array" ref="B58">IFERROR(INDEX('Portfolio 3_2'!$O$3:$AK$101,'Portfolio 3_2'!$AP57,2),"")</f>
        <v/>
      </c>
      <c r="C58" s="82" t="str" cm="1">
        <f t="array" ref="C58">IFERROR(SUBSTITUTE(INDEX('Portfolio 3_2'!$O$3:$AK$101,'Portfolio 3_2'!$AP57,23),"น.ส.","นางสาว"),"")</f>
        <v/>
      </c>
      <c r="D58" s="82" t="str" cm="1">
        <f t="array" ref="D58">IFERROR(INDEX('Portfolio 3_2'!$O$3:$AK$101,'Portfolio 3_2'!$AP57,21),"")</f>
        <v/>
      </c>
      <c r="E58" s="82" t="str" cm="1">
        <f t="array" ref="E58">IFERROR(INDEX('Portfolio 3_2'!$O$3:$AK$101,'Portfolio 3_2'!$AP57,22),"")</f>
        <v/>
      </c>
      <c r="F58" s="82" t="str" cm="1">
        <f t="array" ref="F58">IFERROR(SUBSTITUTE(INDEX('Portfolio 3_2'!$O$3:$AK$101,'Portfolio 3_2'!$AP57,4),"+"," "),"")</f>
        <v/>
      </c>
      <c r="G58" s="82" t="str" cm="1">
        <f t="array" ref="G58">IFERROR(SUBSTITUTE(INDEX('Portfolio 3_2'!$O$3:$AK$101,'Portfolio 3_2'!$AP57,5),"+"," "),"")</f>
        <v/>
      </c>
      <c r="H58" s="82" t="str" cm="1">
        <f t="array" ref="H58">IFERROR(SUBSTITUTE(INDEX('Portfolio 3_2'!$O$3:$AK$101,'Portfolio 3_2'!$AP57,6),"+"," "),"")</f>
        <v/>
      </c>
      <c r="I58" s="82" t="str" cm="1">
        <f t="array" ref="I58">IFERROR(INDEX('Portfolio 3_2'!$O$3:$AK$101,'Portfolio 3_2'!$AP57,7),"")</f>
        <v/>
      </c>
      <c r="J58" s="82" t="str" cm="1">
        <f t="array" ref="J58">IFERROR(INDEX('Portfolio 3_2'!$O$3:$AK$101,'Portfolio 3_2'!$AP57,8),"")</f>
        <v/>
      </c>
      <c r="K58" s="82" t="str" cm="1">
        <f t="array" ref="K58">IFERROR(SUBSTITUTE(INDEX('Portfolio 3_2'!$O$3:$AK$101,'Portfolio 3_2'!$AP57,9),"+"," "),"")</f>
        <v/>
      </c>
      <c r="L58" s="82" t="str" cm="1">
        <f t="array" ref="L58">IFERROR(SUBSTITUTE(INDEX('Portfolio 3_2'!$O$3:$AK$101,'Portfolio 3_2'!$AP57,12),"+"," "),"")</f>
        <v/>
      </c>
      <c r="M58" s="82" t="str" cm="1">
        <f t="array" ref="M58">IFERROR(SUBSTITUTE(INDEX('Portfolio 3_2'!$O$3:$AK$101,'Portfolio 3_2'!$AP57,10),"+"," "),"")</f>
        <v/>
      </c>
      <c r="N58" s="82" t="str" cm="1">
        <f t="array" ref="N58">IFERROR(SUBSTITUTE(INDEX('Portfolio 3_2'!$O$3:$AK$101,'Portfolio 3_2'!$AP57,11),"+"," "),"")</f>
        <v/>
      </c>
      <c r="O58" s="82" t="str" cm="1">
        <f t="array" ref="O58">IFERROR(SUBSTITUTE(INDEX('Portfolio 3_2'!$O$3:$AK$101,'Portfolio 3_2'!$AP57,13),"+"," "),"")</f>
        <v/>
      </c>
      <c r="P58" s="82" t="str" cm="1">
        <f t="array" ref="P58">IFERROR(IF(ISNUMBER(FIND("กรุงเทพ",INDEX('Portfolio 3_2'!$O$3:$AK$101,'Portfolio 3_2'!$AP57,14))),"กรุงเทพมหานคร",INDEX('Portfolio 3_2'!$O$3:$AK$101,'Portfolio 3_2'!$AP57,14)),"")</f>
        <v/>
      </c>
      <c r="Q58" s="82" t="str" cm="1">
        <f t="array" ref="Q58">IFERROR(INDEX('Portfolio 3_2'!$O$3:$AK$101,'Portfolio 3_2'!$AP57,15),"")</f>
        <v/>
      </c>
      <c r="R58" s="82" t="str" cm="1">
        <f t="array" ref="R58">IFERROR(TEXT(INDEX('Portfolio 3_2'!$O$3:$AK$101,'Portfolio 3_2'!$AP57,16),"dd/mm/yyyy"),"")</f>
        <v/>
      </c>
      <c r="S58" s="82" t="str" cm="1">
        <f t="array" ref="S58">IFERROR(INDEX('Portfolio 3_2'!$O$3:$AK$101,'Portfolio 3_2'!$AP57,20),"")</f>
        <v/>
      </c>
      <c r="T58" s="82" t="str" cm="1">
        <f t="array" ref="T58">IFERROR(INDEX('Portfolio 3_2'!$O$3:$AK$101,'Portfolio 3_2'!$AP57,17),"")</f>
        <v/>
      </c>
      <c r="U58" s="83" t="str" cm="1">
        <f t="array" ref="U58">IFERROR(INDEX('Portfolio 3_2'!$O$3:$AK$101,'Portfolio 3_2'!$AP57,18),"")</f>
        <v/>
      </c>
      <c r="V58" s="83" t="str" cm="1">
        <f t="array" ref="V58">IFERROR(INDEX('Portfolio 3_2'!$O$3:$AK$101,'Portfolio 3_2'!$AP57,19),"")</f>
        <v/>
      </c>
      <c r="W58" s="1" t="str">
        <f t="shared" si="2"/>
        <v/>
      </c>
    </row>
    <row r="59" spans="1:23">
      <c r="A59" s="92" t="str">
        <f t="shared" si="3"/>
        <v/>
      </c>
      <c r="B59" s="82" t="str" cm="1">
        <f t="array" ref="B59">IFERROR(INDEX('Portfolio 3_2'!$O$3:$AK$101,'Portfolio 3_2'!$AP58,2),"")</f>
        <v/>
      </c>
      <c r="C59" s="82" t="str" cm="1">
        <f t="array" ref="C59">IFERROR(SUBSTITUTE(INDEX('Portfolio 3_2'!$O$3:$AK$101,'Portfolio 3_2'!$AP58,23),"น.ส.","นางสาว"),"")</f>
        <v/>
      </c>
      <c r="D59" s="82" t="str" cm="1">
        <f t="array" ref="D59">IFERROR(INDEX('Portfolio 3_2'!$O$3:$AK$101,'Portfolio 3_2'!$AP58,21),"")</f>
        <v/>
      </c>
      <c r="E59" s="82" t="str" cm="1">
        <f t="array" ref="E59">IFERROR(INDEX('Portfolio 3_2'!$O$3:$AK$101,'Portfolio 3_2'!$AP58,22),"")</f>
        <v/>
      </c>
      <c r="F59" s="82" t="str" cm="1">
        <f t="array" ref="F59">IFERROR(SUBSTITUTE(INDEX('Portfolio 3_2'!$O$3:$AK$101,'Portfolio 3_2'!$AP58,4),"+"," "),"")</f>
        <v/>
      </c>
      <c r="G59" s="82" t="str" cm="1">
        <f t="array" ref="G59">IFERROR(SUBSTITUTE(INDEX('Portfolio 3_2'!$O$3:$AK$101,'Portfolio 3_2'!$AP58,5),"+"," "),"")</f>
        <v/>
      </c>
      <c r="H59" s="82" t="str" cm="1">
        <f t="array" ref="H59">IFERROR(SUBSTITUTE(INDEX('Portfolio 3_2'!$O$3:$AK$101,'Portfolio 3_2'!$AP58,6),"+"," "),"")</f>
        <v/>
      </c>
      <c r="I59" s="82" t="str" cm="1">
        <f t="array" ref="I59">IFERROR(INDEX('Portfolio 3_2'!$O$3:$AK$101,'Portfolio 3_2'!$AP58,7),"")</f>
        <v/>
      </c>
      <c r="J59" s="82" t="str" cm="1">
        <f t="array" ref="J59">IFERROR(INDEX('Portfolio 3_2'!$O$3:$AK$101,'Portfolio 3_2'!$AP58,8),"")</f>
        <v/>
      </c>
      <c r="K59" s="82" t="str" cm="1">
        <f t="array" ref="K59">IFERROR(SUBSTITUTE(INDEX('Portfolio 3_2'!$O$3:$AK$101,'Portfolio 3_2'!$AP58,9),"+"," "),"")</f>
        <v/>
      </c>
      <c r="L59" s="82" t="str" cm="1">
        <f t="array" ref="L59">IFERROR(SUBSTITUTE(INDEX('Portfolio 3_2'!$O$3:$AK$101,'Portfolio 3_2'!$AP58,12),"+"," "),"")</f>
        <v/>
      </c>
      <c r="M59" s="82" t="str" cm="1">
        <f t="array" ref="M59">IFERROR(SUBSTITUTE(INDEX('Portfolio 3_2'!$O$3:$AK$101,'Portfolio 3_2'!$AP58,10),"+"," "),"")</f>
        <v/>
      </c>
      <c r="N59" s="82" t="str" cm="1">
        <f t="array" ref="N59">IFERROR(SUBSTITUTE(INDEX('Portfolio 3_2'!$O$3:$AK$101,'Portfolio 3_2'!$AP58,11),"+"," "),"")</f>
        <v/>
      </c>
      <c r="O59" s="82" t="str" cm="1">
        <f t="array" ref="O59">IFERROR(SUBSTITUTE(INDEX('Portfolio 3_2'!$O$3:$AK$101,'Portfolio 3_2'!$AP58,13),"+"," "),"")</f>
        <v/>
      </c>
      <c r="P59" s="82" t="str" cm="1">
        <f t="array" ref="P59">IFERROR(IF(ISNUMBER(FIND("กรุงเทพ",INDEX('Portfolio 3_2'!$O$3:$AK$101,'Portfolio 3_2'!$AP58,14))),"กรุงเทพมหานคร",INDEX('Portfolio 3_2'!$O$3:$AK$101,'Portfolio 3_2'!$AP58,14)),"")</f>
        <v/>
      </c>
      <c r="Q59" s="82" t="str" cm="1">
        <f t="array" ref="Q59">IFERROR(INDEX('Portfolio 3_2'!$O$3:$AK$101,'Portfolio 3_2'!$AP58,15),"")</f>
        <v/>
      </c>
      <c r="R59" s="82" t="str" cm="1">
        <f t="array" ref="R59">IFERROR(TEXT(INDEX('Portfolio 3_2'!$O$3:$AK$101,'Portfolio 3_2'!$AP58,16),"dd/mm/yyyy"),"")</f>
        <v/>
      </c>
      <c r="S59" s="82" t="str" cm="1">
        <f t="array" ref="S59">IFERROR(INDEX('Portfolio 3_2'!$O$3:$AK$101,'Portfolio 3_2'!$AP58,20),"")</f>
        <v/>
      </c>
      <c r="T59" s="82" t="str" cm="1">
        <f t="array" ref="T59">IFERROR(INDEX('Portfolio 3_2'!$O$3:$AK$101,'Portfolio 3_2'!$AP58,17),"")</f>
        <v/>
      </c>
      <c r="U59" s="83" t="str" cm="1">
        <f t="array" ref="U59">IFERROR(INDEX('Portfolio 3_2'!$O$3:$AK$101,'Portfolio 3_2'!$AP58,18),"")</f>
        <v/>
      </c>
      <c r="V59" s="83" t="str" cm="1">
        <f t="array" ref="V59">IFERROR(INDEX('Portfolio 3_2'!$O$3:$AK$101,'Portfolio 3_2'!$AP58,19),"")</f>
        <v/>
      </c>
      <c r="W59" s="1" t="str">
        <f t="shared" si="2"/>
        <v/>
      </c>
    </row>
    <row r="60" spans="1:23">
      <c r="A60" s="92" t="str">
        <f t="shared" si="3"/>
        <v/>
      </c>
      <c r="B60" s="82" t="str" cm="1">
        <f t="array" ref="B60">IFERROR(INDEX('Portfolio 3_2'!$O$3:$AK$101,'Portfolio 3_2'!$AP59,2),"")</f>
        <v/>
      </c>
      <c r="C60" s="82" t="str" cm="1">
        <f t="array" ref="C60">IFERROR(SUBSTITUTE(INDEX('Portfolio 3_2'!$O$3:$AK$101,'Portfolio 3_2'!$AP59,23),"น.ส.","นางสาว"),"")</f>
        <v/>
      </c>
      <c r="D60" s="82" t="str" cm="1">
        <f t="array" ref="D60">IFERROR(INDEX('Portfolio 3_2'!$O$3:$AK$101,'Portfolio 3_2'!$AP59,21),"")</f>
        <v/>
      </c>
      <c r="E60" s="82" t="str" cm="1">
        <f t="array" ref="E60">IFERROR(INDEX('Portfolio 3_2'!$O$3:$AK$101,'Portfolio 3_2'!$AP59,22),"")</f>
        <v/>
      </c>
      <c r="F60" s="82" t="str" cm="1">
        <f t="array" ref="F60">IFERROR(SUBSTITUTE(INDEX('Portfolio 3_2'!$O$3:$AK$101,'Portfolio 3_2'!$AP59,4),"+"," "),"")</f>
        <v/>
      </c>
      <c r="G60" s="82" t="str" cm="1">
        <f t="array" ref="G60">IFERROR(SUBSTITUTE(INDEX('Portfolio 3_2'!$O$3:$AK$101,'Portfolio 3_2'!$AP59,5),"+"," "),"")</f>
        <v/>
      </c>
      <c r="H60" s="82" t="str" cm="1">
        <f t="array" ref="H60">IFERROR(SUBSTITUTE(INDEX('Portfolio 3_2'!$O$3:$AK$101,'Portfolio 3_2'!$AP59,6),"+"," "),"")</f>
        <v/>
      </c>
      <c r="I60" s="82" t="str" cm="1">
        <f t="array" ref="I60">IFERROR(INDEX('Portfolio 3_2'!$O$3:$AK$101,'Portfolio 3_2'!$AP59,7),"")</f>
        <v/>
      </c>
      <c r="J60" s="82" t="str" cm="1">
        <f t="array" ref="J60">IFERROR(INDEX('Portfolio 3_2'!$O$3:$AK$101,'Portfolio 3_2'!$AP59,8),"")</f>
        <v/>
      </c>
      <c r="K60" s="82" t="str" cm="1">
        <f t="array" ref="K60">IFERROR(SUBSTITUTE(INDEX('Portfolio 3_2'!$O$3:$AK$101,'Portfolio 3_2'!$AP59,9),"+"," "),"")</f>
        <v/>
      </c>
      <c r="L60" s="82" t="str" cm="1">
        <f t="array" ref="L60">IFERROR(SUBSTITUTE(INDEX('Portfolio 3_2'!$O$3:$AK$101,'Portfolio 3_2'!$AP59,12),"+"," "),"")</f>
        <v/>
      </c>
      <c r="M60" s="82" t="str" cm="1">
        <f t="array" ref="M60">IFERROR(SUBSTITUTE(INDEX('Portfolio 3_2'!$O$3:$AK$101,'Portfolio 3_2'!$AP59,10),"+"," "),"")</f>
        <v/>
      </c>
      <c r="N60" s="82" t="str" cm="1">
        <f t="array" ref="N60">IFERROR(SUBSTITUTE(INDEX('Portfolio 3_2'!$O$3:$AK$101,'Portfolio 3_2'!$AP59,11),"+"," "),"")</f>
        <v/>
      </c>
      <c r="O60" s="82" t="str" cm="1">
        <f t="array" ref="O60">IFERROR(SUBSTITUTE(INDEX('Portfolio 3_2'!$O$3:$AK$101,'Portfolio 3_2'!$AP59,13),"+"," "),"")</f>
        <v/>
      </c>
      <c r="P60" s="82" t="str" cm="1">
        <f t="array" ref="P60">IFERROR(IF(ISNUMBER(FIND("กรุงเทพ",INDEX('Portfolio 3_2'!$O$3:$AK$101,'Portfolio 3_2'!$AP59,14))),"กรุงเทพมหานคร",INDEX('Portfolio 3_2'!$O$3:$AK$101,'Portfolio 3_2'!$AP59,14)),"")</f>
        <v/>
      </c>
      <c r="Q60" s="82" t="str" cm="1">
        <f t="array" ref="Q60">IFERROR(INDEX('Portfolio 3_2'!$O$3:$AK$101,'Portfolio 3_2'!$AP59,15),"")</f>
        <v/>
      </c>
      <c r="R60" s="82" t="str" cm="1">
        <f t="array" ref="R60">IFERROR(TEXT(INDEX('Portfolio 3_2'!$O$3:$AK$101,'Portfolio 3_2'!$AP59,16),"dd/mm/yyyy"),"")</f>
        <v/>
      </c>
      <c r="S60" s="82" t="str" cm="1">
        <f t="array" ref="S60">IFERROR(INDEX('Portfolio 3_2'!$O$3:$AK$101,'Portfolio 3_2'!$AP59,20),"")</f>
        <v/>
      </c>
      <c r="T60" s="82" t="str" cm="1">
        <f t="array" ref="T60">IFERROR(INDEX('Portfolio 3_2'!$O$3:$AK$101,'Portfolio 3_2'!$AP59,17),"")</f>
        <v/>
      </c>
      <c r="U60" s="83" t="str" cm="1">
        <f t="array" ref="U60">IFERROR(INDEX('Portfolio 3_2'!$O$3:$AK$101,'Portfolio 3_2'!$AP59,18),"")</f>
        <v/>
      </c>
      <c r="V60" s="83" t="str" cm="1">
        <f t="array" ref="V60">IFERROR(INDEX('Portfolio 3_2'!$O$3:$AK$101,'Portfolio 3_2'!$AP59,19),"")</f>
        <v/>
      </c>
      <c r="W60" s="1" t="str">
        <f t="shared" si="2"/>
        <v/>
      </c>
    </row>
    <row r="61" spans="1:23">
      <c r="A61" s="92" t="str">
        <f t="shared" si="3"/>
        <v/>
      </c>
      <c r="B61" s="82" t="str" cm="1">
        <f t="array" ref="B61">IFERROR(INDEX('Portfolio 3_2'!$O$3:$AK$101,'Portfolio 3_2'!$AP60,2),"")</f>
        <v/>
      </c>
      <c r="C61" s="82" t="str" cm="1">
        <f t="array" ref="C61">IFERROR(SUBSTITUTE(INDEX('Portfolio 3_2'!$O$3:$AK$101,'Portfolio 3_2'!$AP60,23),"น.ส.","นางสาว"),"")</f>
        <v/>
      </c>
      <c r="D61" s="82" t="str" cm="1">
        <f t="array" ref="D61">IFERROR(INDEX('Portfolio 3_2'!$O$3:$AK$101,'Portfolio 3_2'!$AP60,21),"")</f>
        <v/>
      </c>
      <c r="E61" s="82" t="str" cm="1">
        <f t="array" ref="E61">IFERROR(INDEX('Portfolio 3_2'!$O$3:$AK$101,'Portfolio 3_2'!$AP60,22),"")</f>
        <v/>
      </c>
      <c r="F61" s="82" t="str" cm="1">
        <f t="array" ref="F61">IFERROR(SUBSTITUTE(INDEX('Portfolio 3_2'!$O$3:$AK$101,'Portfolio 3_2'!$AP60,4),"+"," "),"")</f>
        <v/>
      </c>
      <c r="G61" s="82" t="str" cm="1">
        <f t="array" ref="G61">IFERROR(SUBSTITUTE(INDEX('Portfolio 3_2'!$O$3:$AK$101,'Portfolio 3_2'!$AP60,5),"+"," "),"")</f>
        <v/>
      </c>
      <c r="H61" s="82" t="str" cm="1">
        <f t="array" ref="H61">IFERROR(SUBSTITUTE(INDEX('Portfolio 3_2'!$O$3:$AK$101,'Portfolio 3_2'!$AP60,6),"+"," "),"")</f>
        <v/>
      </c>
      <c r="I61" s="82" t="str" cm="1">
        <f t="array" ref="I61">IFERROR(INDEX('Portfolio 3_2'!$O$3:$AK$101,'Portfolio 3_2'!$AP60,7),"")</f>
        <v/>
      </c>
      <c r="J61" s="82" t="str" cm="1">
        <f t="array" ref="J61">IFERROR(INDEX('Portfolio 3_2'!$O$3:$AK$101,'Portfolio 3_2'!$AP60,8),"")</f>
        <v/>
      </c>
      <c r="K61" s="82" t="str" cm="1">
        <f t="array" ref="K61">IFERROR(SUBSTITUTE(INDEX('Portfolio 3_2'!$O$3:$AK$101,'Portfolio 3_2'!$AP60,9),"+"," "),"")</f>
        <v/>
      </c>
      <c r="L61" s="82" t="str" cm="1">
        <f t="array" ref="L61">IFERROR(SUBSTITUTE(INDEX('Portfolio 3_2'!$O$3:$AK$101,'Portfolio 3_2'!$AP60,12),"+"," "),"")</f>
        <v/>
      </c>
      <c r="M61" s="82" t="str" cm="1">
        <f t="array" ref="M61">IFERROR(SUBSTITUTE(INDEX('Portfolio 3_2'!$O$3:$AK$101,'Portfolio 3_2'!$AP60,10),"+"," "),"")</f>
        <v/>
      </c>
      <c r="N61" s="82" t="str" cm="1">
        <f t="array" ref="N61">IFERROR(SUBSTITUTE(INDEX('Portfolio 3_2'!$O$3:$AK$101,'Portfolio 3_2'!$AP60,11),"+"," "),"")</f>
        <v/>
      </c>
      <c r="O61" s="82" t="str" cm="1">
        <f t="array" ref="O61">IFERROR(SUBSTITUTE(INDEX('Portfolio 3_2'!$O$3:$AK$101,'Portfolio 3_2'!$AP60,13),"+"," "),"")</f>
        <v/>
      </c>
      <c r="P61" s="82" t="str" cm="1">
        <f t="array" ref="P61">IFERROR(IF(ISNUMBER(FIND("กรุงเทพ",INDEX('Portfolio 3_2'!$O$3:$AK$101,'Portfolio 3_2'!$AP60,14))),"กรุงเทพมหานคร",INDEX('Portfolio 3_2'!$O$3:$AK$101,'Portfolio 3_2'!$AP60,14)),"")</f>
        <v/>
      </c>
      <c r="Q61" s="82" t="str" cm="1">
        <f t="array" ref="Q61">IFERROR(INDEX('Portfolio 3_2'!$O$3:$AK$101,'Portfolio 3_2'!$AP60,15),"")</f>
        <v/>
      </c>
      <c r="R61" s="82" t="str" cm="1">
        <f t="array" ref="R61">IFERROR(TEXT(INDEX('Portfolio 3_2'!$O$3:$AK$101,'Portfolio 3_2'!$AP60,16),"dd/mm/yyyy"),"")</f>
        <v/>
      </c>
      <c r="S61" s="82" t="str" cm="1">
        <f t="array" ref="S61">IFERROR(INDEX('Portfolio 3_2'!$O$3:$AK$101,'Portfolio 3_2'!$AP60,20),"")</f>
        <v/>
      </c>
      <c r="T61" s="82" t="str" cm="1">
        <f t="array" ref="T61">IFERROR(INDEX('Portfolio 3_2'!$O$3:$AK$101,'Portfolio 3_2'!$AP60,17),"")</f>
        <v/>
      </c>
      <c r="U61" s="83" t="str" cm="1">
        <f t="array" ref="U61">IFERROR(INDEX('Portfolio 3_2'!$O$3:$AK$101,'Portfolio 3_2'!$AP60,18),"")</f>
        <v/>
      </c>
      <c r="V61" s="83" t="str" cm="1">
        <f t="array" ref="V61">IFERROR(INDEX('Portfolio 3_2'!$O$3:$AK$101,'Portfolio 3_2'!$AP60,19),"")</f>
        <v/>
      </c>
      <c r="W61" s="1" t="str">
        <f t="shared" si="2"/>
        <v/>
      </c>
    </row>
    <row r="62" spans="1:23">
      <c r="A62" s="92" t="str">
        <f t="shared" si="3"/>
        <v/>
      </c>
      <c r="B62" s="82" t="str" cm="1">
        <f t="array" ref="B62">IFERROR(INDEX('Portfolio 3_2'!$O$3:$AK$101,'Portfolio 3_2'!$AP61,2),"")</f>
        <v/>
      </c>
      <c r="C62" s="82" t="str" cm="1">
        <f t="array" ref="C62">IFERROR(SUBSTITUTE(INDEX('Portfolio 3_2'!$O$3:$AK$101,'Portfolio 3_2'!$AP61,23),"น.ส.","นางสาว"),"")</f>
        <v/>
      </c>
      <c r="D62" s="82" t="str" cm="1">
        <f t="array" ref="D62">IFERROR(INDEX('Portfolio 3_2'!$O$3:$AK$101,'Portfolio 3_2'!$AP61,21),"")</f>
        <v/>
      </c>
      <c r="E62" s="82" t="str" cm="1">
        <f t="array" ref="E62">IFERROR(INDEX('Portfolio 3_2'!$O$3:$AK$101,'Portfolio 3_2'!$AP61,22),"")</f>
        <v/>
      </c>
      <c r="F62" s="82" t="str" cm="1">
        <f t="array" ref="F62">IFERROR(SUBSTITUTE(INDEX('Portfolio 3_2'!$O$3:$AK$101,'Portfolio 3_2'!$AP61,4),"+"," "),"")</f>
        <v/>
      </c>
      <c r="G62" s="82" t="str" cm="1">
        <f t="array" ref="G62">IFERROR(SUBSTITUTE(INDEX('Portfolio 3_2'!$O$3:$AK$101,'Portfolio 3_2'!$AP61,5),"+"," "),"")</f>
        <v/>
      </c>
      <c r="H62" s="82" t="str" cm="1">
        <f t="array" ref="H62">IFERROR(SUBSTITUTE(INDEX('Portfolio 3_2'!$O$3:$AK$101,'Portfolio 3_2'!$AP61,6),"+"," "),"")</f>
        <v/>
      </c>
      <c r="I62" s="82" t="str" cm="1">
        <f t="array" ref="I62">IFERROR(INDEX('Portfolio 3_2'!$O$3:$AK$101,'Portfolio 3_2'!$AP61,7),"")</f>
        <v/>
      </c>
      <c r="J62" s="82" t="str" cm="1">
        <f t="array" ref="J62">IFERROR(INDEX('Portfolio 3_2'!$O$3:$AK$101,'Portfolio 3_2'!$AP61,8),"")</f>
        <v/>
      </c>
      <c r="K62" s="82" t="str" cm="1">
        <f t="array" ref="K62">IFERROR(SUBSTITUTE(INDEX('Portfolio 3_2'!$O$3:$AK$101,'Portfolio 3_2'!$AP61,9),"+"," "),"")</f>
        <v/>
      </c>
      <c r="L62" s="82" t="str" cm="1">
        <f t="array" ref="L62">IFERROR(SUBSTITUTE(INDEX('Portfolio 3_2'!$O$3:$AK$101,'Portfolio 3_2'!$AP61,12),"+"," "),"")</f>
        <v/>
      </c>
      <c r="M62" s="82" t="str" cm="1">
        <f t="array" ref="M62">IFERROR(SUBSTITUTE(INDEX('Portfolio 3_2'!$O$3:$AK$101,'Portfolio 3_2'!$AP61,10),"+"," "),"")</f>
        <v/>
      </c>
      <c r="N62" s="82" t="str" cm="1">
        <f t="array" ref="N62">IFERROR(SUBSTITUTE(INDEX('Portfolio 3_2'!$O$3:$AK$101,'Portfolio 3_2'!$AP61,11),"+"," "),"")</f>
        <v/>
      </c>
      <c r="O62" s="82" t="str" cm="1">
        <f t="array" ref="O62">IFERROR(SUBSTITUTE(INDEX('Portfolio 3_2'!$O$3:$AK$101,'Portfolio 3_2'!$AP61,13),"+"," "),"")</f>
        <v/>
      </c>
      <c r="P62" s="82" t="str" cm="1">
        <f t="array" ref="P62">IFERROR(IF(ISNUMBER(FIND("กรุงเทพ",INDEX('Portfolio 3_2'!$O$3:$AK$101,'Portfolio 3_2'!$AP61,14))),"กรุงเทพมหานคร",INDEX('Portfolio 3_2'!$O$3:$AK$101,'Portfolio 3_2'!$AP61,14)),"")</f>
        <v/>
      </c>
      <c r="Q62" s="82" t="str" cm="1">
        <f t="array" ref="Q62">IFERROR(INDEX('Portfolio 3_2'!$O$3:$AK$101,'Portfolio 3_2'!$AP61,15),"")</f>
        <v/>
      </c>
      <c r="R62" s="82" t="str" cm="1">
        <f t="array" ref="R62">IFERROR(TEXT(INDEX('Portfolio 3_2'!$O$3:$AK$101,'Portfolio 3_2'!$AP61,16),"dd/mm/yyyy"),"")</f>
        <v/>
      </c>
      <c r="S62" s="82" t="str" cm="1">
        <f t="array" ref="S62">IFERROR(INDEX('Portfolio 3_2'!$O$3:$AK$101,'Portfolio 3_2'!$AP61,20),"")</f>
        <v/>
      </c>
      <c r="T62" s="82" t="str" cm="1">
        <f t="array" ref="T62">IFERROR(INDEX('Portfolio 3_2'!$O$3:$AK$101,'Portfolio 3_2'!$AP61,17),"")</f>
        <v/>
      </c>
      <c r="U62" s="83" t="str" cm="1">
        <f t="array" ref="U62">IFERROR(INDEX('Portfolio 3_2'!$O$3:$AK$101,'Portfolio 3_2'!$AP61,18),"")</f>
        <v/>
      </c>
      <c r="V62" s="83" t="str" cm="1">
        <f t="array" ref="V62">IFERROR(INDEX('Portfolio 3_2'!$O$3:$AK$101,'Portfolio 3_2'!$AP61,19),"")</f>
        <v/>
      </c>
      <c r="W62" s="1" t="str">
        <f t="shared" si="2"/>
        <v/>
      </c>
    </row>
    <row r="63" spans="1:23">
      <c r="A63" s="92" t="str">
        <f>IF('Portfolio 3_2'!B1075="","",A62+1)</f>
        <v/>
      </c>
      <c r="B63" s="82" t="str" cm="1">
        <f t="array" ref="B63">IFERROR(INDEX('Portfolio 3_2'!$O$3:$AK$101,'Portfolio 3_2'!$AP62,2),"")</f>
        <v/>
      </c>
      <c r="C63" s="82" t="str" cm="1">
        <f t="array" ref="C63">IFERROR(SUBSTITUTE(INDEX('Portfolio 3_2'!$O$3:$AK$101,'Portfolio 3_2'!$AP62,23),"น.ส.","นางสาว"),"")</f>
        <v/>
      </c>
      <c r="D63" s="82" t="str" cm="1">
        <f t="array" ref="D63">IFERROR(INDEX('Portfolio 3_2'!$O$3:$AK$101,'Portfolio 3_2'!$AP62,21),"")</f>
        <v/>
      </c>
      <c r="E63" s="82" t="str" cm="1">
        <f t="array" ref="E63">IFERROR(INDEX('Portfolio 3_2'!$O$3:$AK$101,'Portfolio 3_2'!$AP62,22),"")</f>
        <v/>
      </c>
      <c r="F63" s="82" t="str" cm="1">
        <f t="array" ref="F63">IFERROR(SUBSTITUTE(INDEX('Portfolio 3_2'!$O$3:$AK$101,'Portfolio 3_2'!$AP62,4),"+"," "),"")</f>
        <v/>
      </c>
      <c r="G63" s="82" t="str" cm="1">
        <f t="array" ref="G63">IFERROR(SUBSTITUTE(INDEX('Portfolio 3_2'!$O$3:$AK$101,'Portfolio 3_2'!$AP62,5),"+"," "),"")</f>
        <v/>
      </c>
      <c r="H63" s="82" t="str" cm="1">
        <f t="array" ref="H63">IFERROR(SUBSTITUTE(INDEX('Portfolio 3_2'!$O$3:$AK$101,'Portfolio 3_2'!$AP62,6),"+"," "),"")</f>
        <v/>
      </c>
      <c r="I63" s="82" t="str" cm="1">
        <f t="array" ref="I63">IFERROR(INDEX('Portfolio 3_2'!$O$3:$AK$101,'Portfolio 3_2'!$AP62,7),"")</f>
        <v/>
      </c>
      <c r="J63" s="82" t="str" cm="1">
        <f t="array" ref="J63">IFERROR(INDEX('Portfolio 3_2'!$O$3:$AK$101,'Portfolio 3_2'!$AP62,8),"")</f>
        <v/>
      </c>
      <c r="K63" s="82" t="str" cm="1">
        <f t="array" ref="K63">IFERROR(SUBSTITUTE(INDEX('Portfolio 3_2'!$O$3:$AK$101,'Portfolio 3_2'!$AP62,9),"+"," "),"")</f>
        <v/>
      </c>
      <c r="L63" s="82" t="str" cm="1">
        <f t="array" ref="L63">IFERROR(SUBSTITUTE(INDEX('Portfolio 3_2'!$O$3:$AK$101,'Portfolio 3_2'!$AP62,12),"+"," "),"")</f>
        <v/>
      </c>
      <c r="M63" s="82" t="str" cm="1">
        <f t="array" ref="M63">IFERROR(SUBSTITUTE(INDEX('Portfolio 3_2'!$O$3:$AK$101,'Portfolio 3_2'!$AP62,10),"+"," "),"")</f>
        <v/>
      </c>
      <c r="N63" s="82" t="str" cm="1">
        <f t="array" ref="N63">IFERROR(SUBSTITUTE(INDEX('Portfolio 3_2'!$O$3:$AK$101,'Portfolio 3_2'!$AP62,11),"+"," "),"")</f>
        <v/>
      </c>
      <c r="O63" s="82" t="str" cm="1">
        <f t="array" ref="O63">IFERROR(SUBSTITUTE(INDEX('Portfolio 3_2'!$O$3:$AK$101,'Portfolio 3_2'!$AP62,13),"+"," "),"")</f>
        <v/>
      </c>
      <c r="P63" s="82" t="str" cm="1">
        <f t="array" ref="P63">IFERROR(IF(ISNUMBER(FIND("กรุงเทพ",INDEX('Portfolio 3_2'!$O$3:$AK$101,'Portfolio 3_2'!$AP62,14))),"กรุงเทพมหานคร",INDEX('Portfolio 3_2'!$O$3:$AK$101,'Portfolio 3_2'!$AP62,14)),"")</f>
        <v/>
      </c>
      <c r="Q63" s="82" t="str" cm="1">
        <f t="array" ref="Q63">IFERROR(INDEX('Portfolio 3_2'!$O$3:$AK$101,'Portfolio 3_2'!$AP62,15),"")</f>
        <v/>
      </c>
      <c r="R63" s="82" t="str" cm="1">
        <f t="array" ref="R63">IFERROR(TEXT(INDEX('Portfolio 3_2'!$O$3:$AK$101,'Portfolio 3_2'!$AP62,16),"dd/mm/yyyy"),"")</f>
        <v/>
      </c>
      <c r="S63" s="82" t="str" cm="1">
        <f t="array" ref="S63">IFERROR(INDEX('Portfolio 3_2'!$O$3:$AK$101,'Portfolio 3_2'!$AP62,20),"")</f>
        <v/>
      </c>
      <c r="T63" s="82" t="str" cm="1">
        <f t="array" ref="T63">IFERROR(INDEX('Portfolio 3_2'!$O$3:$AK$101,'Portfolio 3_2'!$AP62,17),"")</f>
        <v/>
      </c>
      <c r="U63" s="83" t="str" cm="1">
        <f t="array" ref="U63">IFERROR(INDEX('Portfolio 3_2'!$O$3:$AK$101,'Portfolio 3_2'!$AP62,18),"")</f>
        <v/>
      </c>
      <c r="V63" s="83" t="str" cm="1">
        <f t="array" ref="V63">IFERROR(INDEX('Portfolio 3_2'!$O$3:$AK$101,'Portfolio 3_2'!$AP62,19),"")</f>
        <v/>
      </c>
      <c r="W63" s="1" t="str">
        <f t="shared" si="2"/>
        <v/>
      </c>
    </row>
    <row r="64" spans="1:23">
      <c r="A64" s="92" t="str">
        <f>IF(B64="","",'Portfolio 3_2'!A1075+1)</f>
        <v/>
      </c>
      <c r="B64" s="82" t="str" cm="1">
        <f t="array" ref="B64">IFERROR(INDEX('Portfolio 3_2'!$O$3:$AK$101,'Portfolio 3_2'!$AP63,2),"")</f>
        <v/>
      </c>
      <c r="C64" s="82" t="str" cm="1">
        <f t="array" ref="C64">IFERROR(SUBSTITUTE(INDEX('Portfolio 3_2'!$O$3:$AK$101,'Portfolio 3_2'!$AP63,23),"น.ส.","นางสาว"),"")</f>
        <v/>
      </c>
      <c r="D64" s="82" t="str" cm="1">
        <f t="array" ref="D64">IFERROR(INDEX('Portfolio 3_2'!$O$3:$AK$101,'Portfolio 3_2'!$AP63,21),"")</f>
        <v/>
      </c>
      <c r="E64" s="82" t="str" cm="1">
        <f t="array" ref="E64">IFERROR(INDEX('Portfolio 3_2'!$O$3:$AK$101,'Portfolio 3_2'!$AP63,22),"")</f>
        <v/>
      </c>
      <c r="F64" s="82" t="str" cm="1">
        <f t="array" ref="F64">IFERROR(SUBSTITUTE(INDEX('Portfolio 3_2'!$O$3:$AK$101,'Portfolio 3_2'!$AP63,4),"+"," "),"")</f>
        <v/>
      </c>
      <c r="G64" s="82" t="str" cm="1">
        <f t="array" ref="G64">IFERROR(SUBSTITUTE(INDEX('Portfolio 3_2'!$O$3:$AK$101,'Portfolio 3_2'!$AP63,5),"+"," "),"")</f>
        <v/>
      </c>
      <c r="H64" s="82" t="str" cm="1">
        <f t="array" ref="H64">IFERROR(SUBSTITUTE(INDEX('Portfolio 3_2'!$O$3:$AK$101,'Portfolio 3_2'!$AP63,6),"+"," "),"")</f>
        <v/>
      </c>
      <c r="I64" s="82" t="str" cm="1">
        <f t="array" ref="I64">IFERROR(INDEX('Portfolio 3_2'!$O$3:$AK$101,'Portfolio 3_2'!$AP63,7),"")</f>
        <v/>
      </c>
      <c r="J64" s="82" t="str" cm="1">
        <f t="array" ref="J64">IFERROR(INDEX('Portfolio 3_2'!$O$3:$AK$101,'Portfolio 3_2'!$AP63,8),"")</f>
        <v/>
      </c>
      <c r="K64" s="82" t="str" cm="1">
        <f t="array" ref="K64">IFERROR(SUBSTITUTE(INDEX('Portfolio 3_2'!$O$3:$AK$101,'Portfolio 3_2'!$AP63,9),"+"," "),"")</f>
        <v/>
      </c>
      <c r="L64" s="82" t="str" cm="1">
        <f t="array" ref="L64">IFERROR(SUBSTITUTE(INDEX('Portfolio 3_2'!$O$3:$AK$101,'Portfolio 3_2'!$AP63,12),"+"," "),"")</f>
        <v/>
      </c>
      <c r="M64" s="82" t="str" cm="1">
        <f t="array" ref="M64">IFERROR(SUBSTITUTE(INDEX('Portfolio 3_2'!$O$3:$AK$101,'Portfolio 3_2'!$AP63,10),"+"," "),"")</f>
        <v/>
      </c>
      <c r="N64" s="82" t="str" cm="1">
        <f t="array" ref="N64">IFERROR(SUBSTITUTE(INDEX('Portfolio 3_2'!$O$3:$AK$101,'Portfolio 3_2'!$AP63,11),"+"," "),"")</f>
        <v/>
      </c>
      <c r="O64" s="82" t="str" cm="1">
        <f t="array" ref="O64">IFERROR(SUBSTITUTE(INDEX('Portfolio 3_2'!$O$3:$AK$101,'Portfolio 3_2'!$AP63,13),"+"," "),"")</f>
        <v/>
      </c>
      <c r="P64" s="82" t="str" cm="1">
        <f t="array" ref="P64">IFERROR(IF(ISNUMBER(FIND("กรุงเทพ",INDEX('Portfolio 3_2'!$O$3:$AK$101,'Portfolio 3_2'!$AP63,14))),"กรุงเทพมหานคร",INDEX('Portfolio 3_2'!$O$3:$AK$101,'Portfolio 3_2'!$AP63,14)),"")</f>
        <v/>
      </c>
      <c r="Q64" s="82" t="str" cm="1">
        <f t="array" ref="Q64">IFERROR(INDEX('Portfolio 3_2'!$O$3:$AK$101,'Portfolio 3_2'!$AP63,15),"")</f>
        <v/>
      </c>
      <c r="R64" s="82" t="str" cm="1">
        <f t="array" ref="R64">IFERROR(TEXT(INDEX('Portfolio 3_2'!$O$3:$AK$101,'Portfolio 3_2'!$AP63,16),"dd/mm/yyyy"),"")</f>
        <v/>
      </c>
      <c r="S64" s="82" t="str" cm="1">
        <f t="array" ref="S64">IFERROR(INDEX('Portfolio 3_2'!$O$3:$AK$101,'Portfolio 3_2'!$AP63,20),"")</f>
        <v/>
      </c>
      <c r="T64" s="82" t="str" cm="1">
        <f t="array" ref="T64">IFERROR(INDEX('Portfolio 3_2'!$O$3:$AK$101,'Portfolio 3_2'!$AP63,17),"")</f>
        <v/>
      </c>
      <c r="U64" s="83" t="str" cm="1">
        <f t="array" ref="U64">IFERROR(INDEX('Portfolio 3_2'!$O$3:$AK$101,'Portfolio 3_2'!$AP63,18),"")</f>
        <v/>
      </c>
      <c r="V64" s="83" t="str" cm="1">
        <f t="array" ref="V64">IFERROR(INDEX('Portfolio 3_2'!$O$3:$AK$101,'Portfolio 3_2'!$AP63,19),"")</f>
        <v/>
      </c>
      <c r="W64" s="1" t="str">
        <f t="shared" si="2"/>
        <v/>
      </c>
    </row>
    <row r="65" spans="1:23">
      <c r="A65" s="92" t="str">
        <f t="shared" ref="A65:A101" si="4">IF(B65="","",A64+1)</f>
        <v/>
      </c>
      <c r="B65" s="82" t="str" cm="1">
        <f t="array" ref="B65">IFERROR(INDEX('Portfolio 3_2'!$O$3:$AK$101,'Portfolio 3_2'!$AP65,2),"")</f>
        <v/>
      </c>
      <c r="C65" s="82" t="str" cm="1">
        <f t="array" ref="C65">IFERROR(SUBSTITUTE(INDEX('Portfolio 3_2'!$O$3:$AK$101,'Portfolio 3_2'!$AP65,23),"น.ส.","นางสาว"),"")</f>
        <v/>
      </c>
      <c r="D65" s="82" t="str" cm="1">
        <f t="array" ref="D65">IFERROR(INDEX('Portfolio 3_2'!$O$3:$AK$101,'Portfolio 3_2'!$AP65,21),"")</f>
        <v/>
      </c>
      <c r="E65" s="82" t="str" cm="1">
        <f t="array" ref="E65">IFERROR(INDEX('Portfolio 3_2'!$O$3:$AK$101,'Portfolio 3_2'!$AP65,22),"")</f>
        <v/>
      </c>
      <c r="F65" s="82" t="str" cm="1">
        <f t="array" ref="F65">IFERROR(SUBSTITUTE(INDEX('Portfolio 3_2'!$O$3:$AK$101,'Portfolio 3_2'!$AP65,4),"+"," "),"")</f>
        <v/>
      </c>
      <c r="G65" s="82" t="str" cm="1">
        <f t="array" ref="G65">IFERROR(SUBSTITUTE(INDEX('Portfolio 3_2'!$O$3:$AK$101,'Portfolio 3_2'!$AP65,5),"+"," "),"")</f>
        <v/>
      </c>
      <c r="H65" s="82" t="str" cm="1">
        <f t="array" ref="H65">IFERROR(SUBSTITUTE(INDEX('Portfolio 3_2'!$O$3:$AK$101,'Portfolio 3_2'!$AP65,6),"+"," "),"")</f>
        <v/>
      </c>
      <c r="I65" s="82" t="str" cm="1">
        <f t="array" ref="I65">IFERROR(INDEX('Portfolio 3_2'!$O$3:$AK$101,'Portfolio 3_2'!$AP65,7),"")</f>
        <v/>
      </c>
      <c r="J65" s="82" t="str" cm="1">
        <f t="array" ref="J65">IFERROR(INDEX('Portfolio 3_2'!$O$3:$AK$101,'Portfolio 3_2'!$AP65,8),"")</f>
        <v/>
      </c>
      <c r="K65" s="82" t="str" cm="1">
        <f t="array" ref="K65">IFERROR(SUBSTITUTE(INDEX('Portfolio 3_2'!$O$3:$AK$101,'Portfolio 3_2'!$AP65,9),"+"," "),"")</f>
        <v/>
      </c>
      <c r="L65" s="82" t="str" cm="1">
        <f t="array" ref="L65">IFERROR(SUBSTITUTE(INDEX('Portfolio 3_2'!$O$3:$AK$101,'Portfolio 3_2'!$AP65,12),"+"," "),"")</f>
        <v/>
      </c>
      <c r="M65" s="82" t="str" cm="1">
        <f t="array" ref="M65">IFERROR(SUBSTITUTE(INDEX('Portfolio 3_2'!$O$3:$AK$101,'Portfolio 3_2'!$AP65,10),"+"," "),"")</f>
        <v/>
      </c>
      <c r="N65" s="82" t="str" cm="1">
        <f t="array" ref="N65">IFERROR(SUBSTITUTE(INDEX('Portfolio 3_2'!$O$3:$AK$101,'Portfolio 3_2'!$AP65,11),"+"," "),"")</f>
        <v/>
      </c>
      <c r="O65" s="82" t="str" cm="1">
        <f t="array" ref="O65">IFERROR(SUBSTITUTE(INDEX('Portfolio 3_2'!$O$3:$AK$101,'Portfolio 3_2'!$AP65,13),"+"," "),"")</f>
        <v/>
      </c>
      <c r="P65" s="82" t="str" cm="1">
        <f t="array" ref="P65">IFERROR(IF(ISNUMBER(FIND("กรุงเทพ",INDEX('Portfolio 3_2'!$O$3:$AK$101,'Portfolio 3_2'!$AP65,14))),"กรุงเทพมหานคร",INDEX('Portfolio 3_2'!$O$3:$AK$101,'Portfolio 3_2'!$AP65,14)),"")</f>
        <v/>
      </c>
      <c r="Q65" s="82" t="str" cm="1">
        <f t="array" ref="Q65">IFERROR(INDEX('Portfolio 3_2'!$O$3:$AK$101,'Portfolio 3_2'!$AP65,15),"")</f>
        <v/>
      </c>
      <c r="R65" s="82" t="str" cm="1">
        <f t="array" ref="R65">IFERROR(TEXT(INDEX('Portfolio 3_2'!$O$3:$AK$101,'Portfolio 3_2'!$AP65,16),"dd/mm/yyyy"),"")</f>
        <v/>
      </c>
      <c r="S65" s="82" t="str" cm="1">
        <f t="array" ref="S65">IFERROR(INDEX('Portfolio 3_2'!$O$3:$AK$101,'Portfolio 3_2'!$AP65,20),"")</f>
        <v/>
      </c>
      <c r="T65" s="82" t="str" cm="1">
        <f t="array" ref="T65">IFERROR(INDEX('Portfolio 3_2'!$O$3:$AK$101,'Portfolio 3_2'!$AP65,17),"")</f>
        <v/>
      </c>
      <c r="U65" s="83" t="str" cm="1">
        <f t="array" ref="U65">IFERROR(INDEX('Portfolio 3_2'!$O$3:$AK$101,'Portfolio 3_2'!$AP65,18),"")</f>
        <v/>
      </c>
      <c r="V65" s="83" t="str" cm="1">
        <f t="array" ref="V65">IFERROR(INDEX('Portfolio 3_2'!$O$3:$AK$101,'Portfolio 3_2'!$AP65,19),"")</f>
        <v/>
      </c>
      <c r="W65" s="1" t="str">
        <f t="shared" si="2"/>
        <v/>
      </c>
    </row>
    <row r="66" spans="1:23">
      <c r="A66" s="92" t="str">
        <f t="shared" si="4"/>
        <v/>
      </c>
      <c r="B66" s="82" t="str" cm="1">
        <f t="array" ref="B66">IFERROR(INDEX('Portfolio 3_2'!$O$3:$AK$101,'Portfolio 3_2'!$AP66,2),"")</f>
        <v/>
      </c>
      <c r="C66" s="82" t="str" cm="1">
        <f t="array" ref="C66">IFERROR(SUBSTITUTE(INDEX('Portfolio 3_2'!$O$3:$AK$101,'Portfolio 3_2'!$AP66,23),"น.ส.","นางสาว"),"")</f>
        <v/>
      </c>
      <c r="D66" s="82" t="str" cm="1">
        <f t="array" ref="D66">IFERROR(INDEX('Portfolio 3_2'!$O$3:$AK$101,'Portfolio 3_2'!$AP66,21),"")</f>
        <v/>
      </c>
      <c r="E66" s="82" t="str" cm="1">
        <f t="array" ref="E66">IFERROR(INDEX('Portfolio 3_2'!$O$3:$AK$101,'Portfolio 3_2'!$AP66,22),"")</f>
        <v/>
      </c>
      <c r="F66" s="82" t="str" cm="1">
        <f t="array" ref="F66">IFERROR(SUBSTITUTE(INDEX('Portfolio 3_2'!$O$3:$AK$101,'Portfolio 3_2'!$AP66,4),"+"," "),"")</f>
        <v/>
      </c>
      <c r="G66" s="82" t="str" cm="1">
        <f t="array" ref="G66">IFERROR(SUBSTITUTE(INDEX('Portfolio 3_2'!$O$3:$AK$101,'Portfolio 3_2'!$AP66,5),"+"," "),"")</f>
        <v/>
      </c>
      <c r="H66" s="82" t="str" cm="1">
        <f t="array" ref="H66">IFERROR(SUBSTITUTE(INDEX('Portfolio 3_2'!$O$3:$AK$101,'Portfolio 3_2'!$AP66,6),"+"," "),"")</f>
        <v/>
      </c>
      <c r="I66" s="82" t="str" cm="1">
        <f t="array" ref="I66">IFERROR(INDEX('Portfolio 3_2'!$O$3:$AK$101,'Portfolio 3_2'!$AP66,7),"")</f>
        <v/>
      </c>
      <c r="J66" s="82" t="str" cm="1">
        <f t="array" ref="J66">IFERROR(INDEX('Portfolio 3_2'!$O$3:$AK$101,'Portfolio 3_2'!$AP66,8),"")</f>
        <v/>
      </c>
      <c r="K66" s="82" t="str" cm="1">
        <f t="array" ref="K66">IFERROR(SUBSTITUTE(INDEX('Portfolio 3_2'!$O$3:$AK$101,'Portfolio 3_2'!$AP66,9),"+"," "),"")</f>
        <v/>
      </c>
      <c r="L66" s="82" t="str" cm="1">
        <f t="array" ref="L66">IFERROR(SUBSTITUTE(INDEX('Portfolio 3_2'!$O$3:$AK$101,'Portfolio 3_2'!$AP66,12),"+"," "),"")</f>
        <v/>
      </c>
      <c r="M66" s="82" t="str" cm="1">
        <f t="array" ref="M66">IFERROR(SUBSTITUTE(INDEX('Portfolio 3_2'!$O$3:$AK$101,'Portfolio 3_2'!$AP66,10),"+"," "),"")</f>
        <v/>
      </c>
      <c r="N66" s="82" t="str" cm="1">
        <f t="array" ref="N66">IFERROR(SUBSTITUTE(INDEX('Portfolio 3_2'!$O$3:$AK$101,'Portfolio 3_2'!$AP66,11),"+"," "),"")</f>
        <v/>
      </c>
      <c r="O66" s="82" t="str" cm="1">
        <f t="array" ref="O66">IFERROR(SUBSTITUTE(INDEX('Portfolio 3_2'!$O$3:$AK$101,'Portfolio 3_2'!$AP66,13),"+"," "),"")</f>
        <v/>
      </c>
      <c r="P66" s="82" t="str" cm="1">
        <f t="array" ref="P66">IFERROR(IF(ISNUMBER(FIND("กรุงเทพ",INDEX('Portfolio 3_2'!$O$3:$AK$101,'Portfolio 3_2'!$AP66,14))),"กรุงเทพมหานคร",INDEX('Portfolio 3_2'!$O$3:$AK$101,'Portfolio 3_2'!$AP66,14)),"")</f>
        <v/>
      </c>
      <c r="Q66" s="82" t="str" cm="1">
        <f t="array" ref="Q66">IFERROR(INDEX('Portfolio 3_2'!$O$3:$AK$101,'Portfolio 3_2'!$AP66,15),"")</f>
        <v/>
      </c>
      <c r="R66" s="82" t="str" cm="1">
        <f t="array" ref="R66">IFERROR(TEXT(INDEX('Portfolio 3_2'!$O$3:$AK$101,'Portfolio 3_2'!$AP66,16),"dd/mm/yyyy"),"")</f>
        <v/>
      </c>
      <c r="S66" s="82" t="str" cm="1">
        <f t="array" ref="S66">IFERROR(INDEX('Portfolio 3_2'!$O$3:$AK$101,'Portfolio 3_2'!$AP66,20),"")</f>
        <v/>
      </c>
      <c r="T66" s="82" t="str" cm="1">
        <f t="array" ref="T66">IFERROR(INDEX('Portfolio 3_2'!$O$3:$AK$101,'Portfolio 3_2'!$AP66,17),"")</f>
        <v/>
      </c>
      <c r="U66" s="83" t="str" cm="1">
        <f t="array" ref="U66">IFERROR(INDEX('Portfolio 3_2'!$O$3:$AK$101,'Portfolio 3_2'!$AP66,18),"")</f>
        <v/>
      </c>
      <c r="V66" s="83" t="str" cm="1">
        <f t="array" ref="V66">IFERROR(INDEX('Portfolio 3_2'!$O$3:$AK$101,'Portfolio 3_2'!$AP66,19),"")</f>
        <v/>
      </c>
      <c r="W66" s="1" t="str">
        <f t="shared" si="2"/>
        <v/>
      </c>
    </row>
    <row r="67" spans="1:23">
      <c r="A67" s="92" t="str">
        <f t="shared" si="4"/>
        <v/>
      </c>
      <c r="B67" s="82" t="str" cm="1">
        <f t="array" ref="B67">IFERROR(INDEX('Portfolio 3_2'!$O$3:$AK$101,'Portfolio 3_2'!$AP67,2),"")</f>
        <v/>
      </c>
      <c r="C67" s="82" t="str" cm="1">
        <f t="array" ref="C67">IFERROR(SUBSTITUTE(INDEX('Portfolio 3_2'!$O$3:$AK$101,'Portfolio 3_2'!$AP67,23),"น.ส.","นางสาว"),"")</f>
        <v/>
      </c>
      <c r="D67" s="82" t="str" cm="1">
        <f t="array" ref="D67">IFERROR(INDEX('Portfolio 3_2'!$O$3:$AK$101,'Portfolio 3_2'!$AP67,21),"")</f>
        <v/>
      </c>
      <c r="E67" s="82" t="str" cm="1">
        <f t="array" ref="E67">IFERROR(INDEX('Portfolio 3_2'!$O$3:$AK$101,'Portfolio 3_2'!$AP67,22),"")</f>
        <v/>
      </c>
      <c r="F67" s="82" t="str" cm="1">
        <f t="array" ref="F67">IFERROR(SUBSTITUTE(INDEX('Portfolio 3_2'!$O$3:$AK$101,'Portfolio 3_2'!$AP67,4),"+"," "),"")</f>
        <v/>
      </c>
      <c r="G67" s="82" t="str" cm="1">
        <f t="array" ref="G67">IFERROR(SUBSTITUTE(INDEX('Portfolio 3_2'!$O$3:$AK$101,'Portfolio 3_2'!$AP67,5),"+"," "),"")</f>
        <v/>
      </c>
      <c r="H67" s="82" t="str" cm="1">
        <f t="array" ref="H67">IFERROR(SUBSTITUTE(INDEX('Portfolio 3_2'!$O$3:$AK$101,'Portfolio 3_2'!$AP67,6),"+"," "),"")</f>
        <v/>
      </c>
      <c r="I67" s="82" t="str" cm="1">
        <f t="array" ref="I67">IFERROR(INDEX('Portfolio 3_2'!$O$3:$AK$101,'Portfolio 3_2'!$AP67,7),"")</f>
        <v/>
      </c>
      <c r="J67" s="82" t="str" cm="1">
        <f t="array" ref="J67">IFERROR(INDEX('Portfolio 3_2'!$O$3:$AK$101,'Portfolio 3_2'!$AP67,8),"")</f>
        <v/>
      </c>
      <c r="K67" s="82" t="str" cm="1">
        <f t="array" ref="K67">IFERROR(SUBSTITUTE(INDEX('Portfolio 3_2'!$O$3:$AK$101,'Portfolio 3_2'!$AP67,9),"+"," "),"")</f>
        <v/>
      </c>
      <c r="L67" s="82" t="str" cm="1">
        <f t="array" ref="L67">IFERROR(SUBSTITUTE(INDEX('Portfolio 3_2'!$O$3:$AK$101,'Portfolio 3_2'!$AP67,12),"+"," "),"")</f>
        <v/>
      </c>
      <c r="M67" s="82" t="str" cm="1">
        <f t="array" ref="M67">IFERROR(SUBSTITUTE(INDEX('Portfolio 3_2'!$O$3:$AK$101,'Portfolio 3_2'!$AP67,10),"+"," "),"")</f>
        <v/>
      </c>
      <c r="N67" s="82" t="str" cm="1">
        <f t="array" ref="N67">IFERROR(SUBSTITUTE(INDEX('Portfolio 3_2'!$O$3:$AK$101,'Portfolio 3_2'!$AP67,11),"+"," "),"")</f>
        <v/>
      </c>
      <c r="O67" s="82" t="str" cm="1">
        <f t="array" ref="O67">IFERROR(SUBSTITUTE(INDEX('Portfolio 3_2'!$O$3:$AK$101,'Portfolio 3_2'!$AP67,13),"+"," "),"")</f>
        <v/>
      </c>
      <c r="P67" s="82" t="str" cm="1">
        <f t="array" ref="P67">IFERROR(IF(ISNUMBER(FIND("กรุงเทพ",INDEX('Portfolio 3_2'!$O$3:$AK$101,'Portfolio 3_2'!$AP67,14))),"กรุงเทพมหานคร",INDEX('Portfolio 3_2'!$O$3:$AK$101,'Portfolio 3_2'!$AP67,14)),"")</f>
        <v/>
      </c>
      <c r="Q67" s="82" t="str" cm="1">
        <f t="array" ref="Q67">IFERROR(INDEX('Portfolio 3_2'!$O$3:$AK$101,'Portfolio 3_2'!$AP67,15),"")</f>
        <v/>
      </c>
      <c r="R67" s="82" t="str" cm="1">
        <f t="array" ref="R67">IFERROR(TEXT(INDEX('Portfolio 3_2'!$O$3:$AK$101,'Portfolio 3_2'!$AP67,16),"dd/mm/yyyy"),"")</f>
        <v/>
      </c>
      <c r="S67" s="82" t="str" cm="1">
        <f t="array" ref="S67">IFERROR(INDEX('Portfolio 3_2'!$O$3:$AK$101,'Portfolio 3_2'!$AP67,20),"")</f>
        <v/>
      </c>
      <c r="T67" s="82" t="str" cm="1">
        <f t="array" ref="T67">IFERROR(INDEX('Portfolio 3_2'!$O$3:$AK$101,'Portfolio 3_2'!$AP67,17),"")</f>
        <v/>
      </c>
      <c r="U67" s="83" t="str" cm="1">
        <f t="array" ref="U67">IFERROR(INDEX('Portfolio 3_2'!$O$3:$AK$101,'Portfolio 3_2'!$AP67,18),"")</f>
        <v/>
      </c>
      <c r="V67" s="83" t="str" cm="1">
        <f t="array" ref="V67">IFERROR(INDEX('Portfolio 3_2'!$O$3:$AK$101,'Portfolio 3_2'!$AP67,19),"")</f>
        <v/>
      </c>
      <c r="W67" s="1" t="str">
        <f t="shared" si="2"/>
        <v/>
      </c>
    </row>
    <row r="68" spans="1:23">
      <c r="A68" s="92" t="str">
        <f t="shared" si="4"/>
        <v/>
      </c>
      <c r="B68" s="82" t="str" cm="1">
        <f t="array" ref="B68">IFERROR(INDEX('Portfolio 3_2'!$O$3:$AK$101,'Portfolio 3_2'!$AP68,2),"")</f>
        <v/>
      </c>
      <c r="C68" s="82" t="str" cm="1">
        <f t="array" ref="C68">IFERROR(SUBSTITUTE(INDEX('Portfolio 3_2'!$O$3:$AK$101,'Portfolio 3_2'!$AP68,23),"น.ส.","นางสาว"),"")</f>
        <v/>
      </c>
      <c r="D68" s="82" t="str" cm="1">
        <f t="array" ref="D68">IFERROR(INDEX('Portfolio 3_2'!$O$3:$AK$101,'Portfolio 3_2'!$AP68,21),"")</f>
        <v/>
      </c>
      <c r="E68" s="82" t="str" cm="1">
        <f t="array" ref="E68">IFERROR(INDEX('Portfolio 3_2'!$O$3:$AK$101,'Portfolio 3_2'!$AP68,22),"")</f>
        <v/>
      </c>
      <c r="F68" s="82" t="str" cm="1">
        <f t="array" ref="F68">IFERROR(SUBSTITUTE(INDEX('Portfolio 3_2'!$O$3:$AK$101,'Portfolio 3_2'!$AP68,4),"+"," "),"")</f>
        <v/>
      </c>
      <c r="G68" s="82" t="str" cm="1">
        <f t="array" ref="G68">IFERROR(SUBSTITUTE(INDEX('Portfolio 3_2'!$O$3:$AK$101,'Portfolio 3_2'!$AP68,5),"+"," "),"")</f>
        <v/>
      </c>
      <c r="H68" s="82" t="str" cm="1">
        <f t="array" ref="H68">IFERROR(SUBSTITUTE(INDEX('Portfolio 3_2'!$O$3:$AK$101,'Portfolio 3_2'!$AP68,6),"+"," "),"")</f>
        <v/>
      </c>
      <c r="I68" s="82" t="str" cm="1">
        <f t="array" ref="I68">IFERROR(INDEX('Portfolio 3_2'!$O$3:$AK$101,'Portfolio 3_2'!$AP68,7),"")</f>
        <v/>
      </c>
      <c r="J68" s="82" t="str" cm="1">
        <f t="array" ref="J68">IFERROR(INDEX('Portfolio 3_2'!$O$3:$AK$101,'Portfolio 3_2'!$AP68,8),"")</f>
        <v/>
      </c>
      <c r="K68" s="82" t="str" cm="1">
        <f t="array" ref="K68">IFERROR(SUBSTITUTE(INDEX('Portfolio 3_2'!$O$3:$AK$101,'Portfolio 3_2'!$AP68,9),"+"," "),"")</f>
        <v/>
      </c>
      <c r="L68" s="82" t="str" cm="1">
        <f t="array" ref="L68">IFERROR(SUBSTITUTE(INDEX('Portfolio 3_2'!$O$3:$AK$101,'Portfolio 3_2'!$AP68,12),"+"," "),"")</f>
        <v/>
      </c>
      <c r="M68" s="82" t="str" cm="1">
        <f t="array" ref="M68">IFERROR(SUBSTITUTE(INDEX('Portfolio 3_2'!$O$3:$AK$101,'Portfolio 3_2'!$AP68,10),"+"," "),"")</f>
        <v/>
      </c>
      <c r="N68" s="82" t="str" cm="1">
        <f t="array" ref="N68">IFERROR(SUBSTITUTE(INDEX('Portfolio 3_2'!$O$3:$AK$101,'Portfolio 3_2'!$AP68,11),"+"," "),"")</f>
        <v/>
      </c>
      <c r="O68" s="82" t="str" cm="1">
        <f t="array" ref="O68">IFERROR(SUBSTITUTE(INDEX('Portfolio 3_2'!$O$3:$AK$101,'Portfolio 3_2'!$AP68,13),"+"," "),"")</f>
        <v/>
      </c>
      <c r="P68" s="82" t="str" cm="1">
        <f t="array" ref="P68">IFERROR(IF(ISNUMBER(FIND("กรุงเทพ",INDEX('Portfolio 3_2'!$O$3:$AK$101,'Portfolio 3_2'!$AP68,14))),"กรุงเทพมหานคร",INDEX('Portfolio 3_2'!$O$3:$AK$101,'Portfolio 3_2'!$AP68,14)),"")</f>
        <v/>
      </c>
      <c r="Q68" s="82" t="str" cm="1">
        <f t="array" ref="Q68">IFERROR(INDEX('Portfolio 3_2'!$O$3:$AK$101,'Portfolio 3_2'!$AP68,15),"")</f>
        <v/>
      </c>
      <c r="R68" s="82" t="str" cm="1">
        <f t="array" ref="R68">IFERROR(TEXT(INDEX('Portfolio 3_2'!$O$3:$AK$101,'Portfolio 3_2'!$AP68,16),"dd/mm/yyyy"),"")</f>
        <v/>
      </c>
      <c r="S68" s="82" t="str" cm="1">
        <f t="array" ref="S68">IFERROR(INDEX('Portfolio 3_2'!$O$3:$AK$101,'Portfolio 3_2'!$AP68,20),"")</f>
        <v/>
      </c>
      <c r="T68" s="82" t="str" cm="1">
        <f t="array" ref="T68">IFERROR(INDEX('Portfolio 3_2'!$O$3:$AK$101,'Portfolio 3_2'!$AP68,17),"")</f>
        <v/>
      </c>
      <c r="U68" s="83" t="str" cm="1">
        <f t="array" ref="U68">IFERROR(INDEX('Portfolio 3_2'!$O$3:$AK$101,'Portfolio 3_2'!$AP68,18),"")</f>
        <v/>
      </c>
      <c r="V68" s="83" t="str" cm="1">
        <f t="array" ref="V68">IFERROR(INDEX('Portfolio 3_2'!$O$3:$AK$101,'Portfolio 3_2'!$AP68,19),"")</f>
        <v/>
      </c>
      <c r="W68" s="1" t="str">
        <f t="shared" ref="W68:W101" si="5">IFERROR(IF(A68&lt;&gt;"","1",""),"")</f>
        <v/>
      </c>
    </row>
    <row r="69" spans="1:23">
      <c r="A69" s="92" t="str">
        <f t="shared" si="4"/>
        <v/>
      </c>
      <c r="B69" s="82" t="str" cm="1">
        <f t="array" ref="B69">IFERROR(INDEX('Portfolio 3_2'!$O$3:$AK$101,'Portfolio 3_2'!$AP69,2),"")</f>
        <v/>
      </c>
      <c r="C69" s="82" t="str" cm="1">
        <f t="array" ref="C69">IFERROR(SUBSTITUTE(INDEX('Portfolio 3_2'!$O$3:$AK$101,'Portfolio 3_2'!$AP69,23),"น.ส.","นางสาว"),"")</f>
        <v/>
      </c>
      <c r="D69" s="82" t="str" cm="1">
        <f t="array" ref="D69">IFERROR(INDEX('Portfolio 3_2'!$O$3:$AK$101,'Portfolio 3_2'!$AP69,21),"")</f>
        <v/>
      </c>
      <c r="E69" s="82" t="str" cm="1">
        <f t="array" ref="E69">IFERROR(INDEX('Portfolio 3_2'!$O$3:$AK$101,'Portfolio 3_2'!$AP69,22),"")</f>
        <v/>
      </c>
      <c r="F69" s="82" t="str" cm="1">
        <f t="array" ref="F69">IFERROR(SUBSTITUTE(INDEX('Portfolio 3_2'!$O$3:$AK$101,'Portfolio 3_2'!$AP69,4),"+"," "),"")</f>
        <v/>
      </c>
      <c r="G69" s="82" t="str" cm="1">
        <f t="array" ref="G69">IFERROR(SUBSTITUTE(INDEX('Portfolio 3_2'!$O$3:$AK$101,'Portfolio 3_2'!$AP69,5),"+"," "),"")</f>
        <v/>
      </c>
      <c r="H69" s="82" t="str" cm="1">
        <f t="array" ref="H69">IFERROR(SUBSTITUTE(INDEX('Portfolio 3_2'!$O$3:$AK$101,'Portfolio 3_2'!$AP69,6),"+"," "),"")</f>
        <v/>
      </c>
      <c r="I69" s="82" t="str" cm="1">
        <f t="array" ref="I69">IFERROR(INDEX('Portfolio 3_2'!$O$3:$AK$101,'Portfolio 3_2'!$AP69,7),"")</f>
        <v/>
      </c>
      <c r="J69" s="82" t="str" cm="1">
        <f t="array" ref="J69">IFERROR(INDEX('Portfolio 3_2'!$O$3:$AK$101,'Portfolio 3_2'!$AP69,8),"")</f>
        <v/>
      </c>
      <c r="K69" s="82" t="str" cm="1">
        <f t="array" ref="K69">IFERROR(SUBSTITUTE(INDEX('Portfolio 3_2'!$O$3:$AK$101,'Portfolio 3_2'!$AP69,9),"+"," "),"")</f>
        <v/>
      </c>
      <c r="L69" s="82" t="str" cm="1">
        <f t="array" ref="L69">IFERROR(SUBSTITUTE(INDEX('Portfolio 3_2'!$O$3:$AK$101,'Portfolio 3_2'!$AP69,12),"+"," "),"")</f>
        <v/>
      </c>
      <c r="M69" s="82" t="str" cm="1">
        <f t="array" ref="M69">IFERROR(SUBSTITUTE(INDEX('Portfolio 3_2'!$O$3:$AK$101,'Portfolio 3_2'!$AP69,10),"+"," "),"")</f>
        <v/>
      </c>
      <c r="N69" s="82" t="str" cm="1">
        <f t="array" ref="N69">IFERROR(SUBSTITUTE(INDEX('Portfolio 3_2'!$O$3:$AK$101,'Portfolio 3_2'!$AP69,11),"+"," "),"")</f>
        <v/>
      </c>
      <c r="O69" s="82" t="str" cm="1">
        <f t="array" ref="O69">IFERROR(SUBSTITUTE(INDEX('Portfolio 3_2'!$O$3:$AK$101,'Portfolio 3_2'!$AP69,13),"+"," "),"")</f>
        <v/>
      </c>
      <c r="P69" s="82" t="str" cm="1">
        <f t="array" ref="P69">IFERROR(IF(ISNUMBER(FIND("กรุงเทพ",INDEX('Portfolio 3_2'!$O$3:$AK$101,'Portfolio 3_2'!$AP69,14))),"กรุงเทพมหานคร",INDEX('Portfolio 3_2'!$O$3:$AK$101,'Portfolio 3_2'!$AP69,14)),"")</f>
        <v/>
      </c>
      <c r="Q69" s="82" t="str" cm="1">
        <f t="array" ref="Q69">IFERROR(INDEX('Portfolio 3_2'!$O$3:$AK$101,'Portfolio 3_2'!$AP69,15),"")</f>
        <v/>
      </c>
      <c r="R69" s="82" t="str" cm="1">
        <f t="array" ref="R69">IFERROR(TEXT(INDEX('Portfolio 3_2'!$O$3:$AK$101,'Portfolio 3_2'!$AP69,16),"dd/mm/yyyy"),"")</f>
        <v/>
      </c>
      <c r="S69" s="82" t="str" cm="1">
        <f t="array" ref="S69">IFERROR(INDEX('Portfolio 3_2'!$O$3:$AK$101,'Portfolio 3_2'!$AP69,20),"")</f>
        <v/>
      </c>
      <c r="T69" s="82" t="str" cm="1">
        <f t="array" ref="T69">IFERROR(INDEX('Portfolio 3_2'!$O$3:$AK$101,'Portfolio 3_2'!$AP69,17),"")</f>
        <v/>
      </c>
      <c r="U69" s="83" t="str" cm="1">
        <f t="array" ref="U69">IFERROR(INDEX('Portfolio 3_2'!$O$3:$AK$101,'Portfolio 3_2'!$AP69,18),"")</f>
        <v/>
      </c>
      <c r="V69" s="83" t="str" cm="1">
        <f t="array" ref="V69">IFERROR(INDEX('Portfolio 3_2'!$O$3:$AK$101,'Portfolio 3_2'!$AP69,19),"")</f>
        <v/>
      </c>
      <c r="W69" s="1" t="str">
        <f t="shared" si="5"/>
        <v/>
      </c>
    </row>
    <row r="70" spans="1:23">
      <c r="A70" s="92" t="str">
        <f t="shared" si="4"/>
        <v/>
      </c>
      <c r="B70" s="82" t="str" cm="1">
        <f t="array" ref="B70">IFERROR(INDEX('Portfolio 3_2'!$O$3:$AK$101,'Portfolio 3_2'!$AP70,2),"")</f>
        <v/>
      </c>
      <c r="C70" s="82" t="str" cm="1">
        <f t="array" ref="C70">IFERROR(SUBSTITUTE(INDEX('Portfolio 3_2'!$O$3:$AK$101,'Portfolio 3_2'!$AP70,23),"น.ส.","นางสาว"),"")</f>
        <v/>
      </c>
      <c r="D70" s="82" t="str" cm="1">
        <f t="array" ref="D70">IFERROR(INDEX('Portfolio 3_2'!$O$3:$AK$101,'Portfolio 3_2'!$AP70,21),"")</f>
        <v/>
      </c>
      <c r="E70" s="82" t="str" cm="1">
        <f t="array" ref="E70">IFERROR(INDEX('Portfolio 3_2'!$O$3:$AK$101,'Portfolio 3_2'!$AP70,22),"")</f>
        <v/>
      </c>
      <c r="F70" s="82" t="str" cm="1">
        <f t="array" ref="F70">IFERROR(SUBSTITUTE(INDEX('Portfolio 3_2'!$O$3:$AK$101,'Portfolio 3_2'!$AP70,4),"+"," "),"")</f>
        <v/>
      </c>
      <c r="G70" s="82" t="str" cm="1">
        <f t="array" ref="G70">IFERROR(SUBSTITUTE(INDEX('Portfolio 3_2'!$O$3:$AK$101,'Portfolio 3_2'!$AP70,5),"+"," "),"")</f>
        <v/>
      </c>
      <c r="H70" s="82" t="str" cm="1">
        <f t="array" ref="H70">IFERROR(SUBSTITUTE(INDEX('Portfolio 3_2'!$O$3:$AK$101,'Portfolio 3_2'!$AP70,6),"+"," "),"")</f>
        <v/>
      </c>
      <c r="I70" s="82" t="str" cm="1">
        <f t="array" ref="I70">IFERROR(INDEX('Portfolio 3_2'!$O$3:$AK$101,'Portfolio 3_2'!$AP70,7),"")</f>
        <v/>
      </c>
      <c r="J70" s="82" t="str" cm="1">
        <f t="array" ref="J70">IFERROR(INDEX('Portfolio 3_2'!$O$3:$AK$101,'Portfolio 3_2'!$AP70,8),"")</f>
        <v/>
      </c>
      <c r="K70" s="82" t="str" cm="1">
        <f t="array" ref="K70">IFERROR(SUBSTITUTE(INDEX('Portfolio 3_2'!$O$3:$AK$101,'Portfolio 3_2'!$AP70,9),"+"," "),"")</f>
        <v/>
      </c>
      <c r="L70" s="82" t="str" cm="1">
        <f t="array" ref="L70">IFERROR(SUBSTITUTE(INDEX('Portfolio 3_2'!$O$3:$AK$101,'Portfolio 3_2'!$AP70,12),"+"," "),"")</f>
        <v/>
      </c>
      <c r="M70" s="82" t="str" cm="1">
        <f t="array" ref="M70">IFERROR(SUBSTITUTE(INDEX('Portfolio 3_2'!$O$3:$AK$101,'Portfolio 3_2'!$AP70,10),"+"," "),"")</f>
        <v/>
      </c>
      <c r="N70" s="82" t="str" cm="1">
        <f t="array" ref="N70">IFERROR(SUBSTITUTE(INDEX('Portfolio 3_2'!$O$3:$AK$101,'Portfolio 3_2'!$AP70,11),"+"," "),"")</f>
        <v/>
      </c>
      <c r="O70" s="82" t="str" cm="1">
        <f t="array" ref="O70">IFERROR(SUBSTITUTE(INDEX('Portfolio 3_2'!$O$3:$AK$101,'Portfolio 3_2'!$AP70,13),"+"," "),"")</f>
        <v/>
      </c>
      <c r="P70" s="82" t="str" cm="1">
        <f t="array" ref="P70">IFERROR(IF(ISNUMBER(FIND("กรุงเทพ",INDEX('Portfolio 3_2'!$O$3:$AK$101,'Portfolio 3_2'!$AP70,14))),"กรุงเทพมหานคร",INDEX('Portfolio 3_2'!$O$3:$AK$101,'Portfolio 3_2'!$AP70,14)),"")</f>
        <v/>
      </c>
      <c r="Q70" s="82" t="str" cm="1">
        <f t="array" ref="Q70">IFERROR(INDEX('Portfolio 3_2'!$O$3:$AK$101,'Portfolio 3_2'!$AP70,15),"")</f>
        <v/>
      </c>
      <c r="R70" s="82" t="str" cm="1">
        <f t="array" ref="R70">IFERROR(TEXT(INDEX('Portfolio 3_2'!$O$3:$AK$101,'Portfolio 3_2'!$AP70,16),"dd/mm/yyyy"),"")</f>
        <v/>
      </c>
      <c r="S70" s="82" t="str" cm="1">
        <f t="array" ref="S70">IFERROR(INDEX('Portfolio 3_2'!$O$3:$AK$101,'Portfolio 3_2'!$AP70,20),"")</f>
        <v/>
      </c>
      <c r="T70" s="82" t="str" cm="1">
        <f t="array" ref="T70">IFERROR(INDEX('Portfolio 3_2'!$O$3:$AK$101,'Portfolio 3_2'!$AP70,17),"")</f>
        <v/>
      </c>
      <c r="U70" s="83" t="str" cm="1">
        <f t="array" ref="U70">IFERROR(INDEX('Portfolio 3_2'!$O$3:$AK$101,'Portfolio 3_2'!$AP70,18),"")</f>
        <v/>
      </c>
      <c r="V70" s="83" t="str" cm="1">
        <f t="array" ref="V70">IFERROR(INDEX('Portfolio 3_2'!$O$3:$AK$101,'Portfolio 3_2'!$AP70,19),"")</f>
        <v/>
      </c>
      <c r="W70" s="1" t="str">
        <f t="shared" si="5"/>
        <v/>
      </c>
    </row>
    <row r="71" spans="1:23">
      <c r="A71" s="92" t="str">
        <f t="shared" si="4"/>
        <v/>
      </c>
      <c r="B71" s="82" t="str" cm="1">
        <f t="array" ref="B71">IFERROR(INDEX('Portfolio 3_2'!$O$3:$AK$101,'Portfolio 3_2'!$AP71,2),"")</f>
        <v/>
      </c>
      <c r="C71" s="82" t="str" cm="1">
        <f t="array" ref="C71">IFERROR(SUBSTITUTE(INDEX('Portfolio 3_2'!$O$3:$AK$101,'Portfolio 3_2'!$AP71,23),"น.ส.","นางสาว"),"")</f>
        <v/>
      </c>
      <c r="D71" s="82" t="str" cm="1">
        <f t="array" ref="D71">IFERROR(INDEX('Portfolio 3_2'!$O$3:$AK$101,'Portfolio 3_2'!$AP71,21),"")</f>
        <v/>
      </c>
      <c r="E71" s="82" t="str" cm="1">
        <f t="array" ref="E71">IFERROR(INDEX('Portfolio 3_2'!$O$3:$AK$101,'Portfolio 3_2'!$AP71,22),"")</f>
        <v/>
      </c>
      <c r="F71" s="82" t="str" cm="1">
        <f t="array" ref="F71">IFERROR(SUBSTITUTE(INDEX('Portfolio 3_2'!$O$3:$AK$101,'Portfolio 3_2'!$AP71,4),"+"," "),"")</f>
        <v/>
      </c>
      <c r="G71" s="82" t="str" cm="1">
        <f t="array" ref="G71">IFERROR(SUBSTITUTE(INDEX('Portfolio 3_2'!$O$3:$AK$101,'Portfolio 3_2'!$AP71,5),"+"," "),"")</f>
        <v/>
      </c>
      <c r="H71" s="82" t="str" cm="1">
        <f t="array" ref="H71">IFERROR(SUBSTITUTE(INDEX('Portfolio 3_2'!$O$3:$AK$101,'Portfolio 3_2'!$AP71,6),"+"," "),"")</f>
        <v/>
      </c>
      <c r="I71" s="82" t="str" cm="1">
        <f t="array" ref="I71">IFERROR(INDEX('Portfolio 3_2'!$O$3:$AK$101,'Portfolio 3_2'!$AP71,7),"")</f>
        <v/>
      </c>
      <c r="J71" s="82" t="str" cm="1">
        <f t="array" ref="J71">IFERROR(INDEX('Portfolio 3_2'!$O$3:$AK$101,'Portfolio 3_2'!$AP71,8),"")</f>
        <v/>
      </c>
      <c r="K71" s="82" t="str" cm="1">
        <f t="array" ref="K71">IFERROR(SUBSTITUTE(INDEX('Portfolio 3_2'!$O$3:$AK$101,'Portfolio 3_2'!$AP71,9),"+"," "),"")</f>
        <v/>
      </c>
      <c r="L71" s="82" t="str" cm="1">
        <f t="array" ref="L71">IFERROR(SUBSTITUTE(INDEX('Portfolio 3_2'!$O$3:$AK$101,'Portfolio 3_2'!$AP71,12),"+"," "),"")</f>
        <v/>
      </c>
      <c r="M71" s="82" t="str" cm="1">
        <f t="array" ref="M71">IFERROR(SUBSTITUTE(INDEX('Portfolio 3_2'!$O$3:$AK$101,'Portfolio 3_2'!$AP71,10),"+"," "),"")</f>
        <v/>
      </c>
      <c r="N71" s="82" t="str" cm="1">
        <f t="array" ref="N71">IFERROR(SUBSTITUTE(INDEX('Portfolio 3_2'!$O$3:$AK$101,'Portfolio 3_2'!$AP71,11),"+"," "),"")</f>
        <v/>
      </c>
      <c r="O71" s="82" t="str" cm="1">
        <f t="array" ref="O71">IFERROR(SUBSTITUTE(INDEX('Portfolio 3_2'!$O$3:$AK$101,'Portfolio 3_2'!$AP71,13),"+"," "),"")</f>
        <v/>
      </c>
      <c r="P71" s="82" t="str" cm="1">
        <f t="array" ref="P71">IFERROR(IF(ISNUMBER(FIND("กรุงเทพ",INDEX('Portfolio 3_2'!$O$3:$AK$101,'Portfolio 3_2'!$AP71,14))),"กรุงเทพมหานคร",INDEX('Portfolio 3_2'!$O$3:$AK$101,'Portfolio 3_2'!$AP71,14)),"")</f>
        <v/>
      </c>
      <c r="Q71" s="82" t="str" cm="1">
        <f t="array" ref="Q71">IFERROR(INDEX('Portfolio 3_2'!$O$3:$AK$101,'Portfolio 3_2'!$AP71,15),"")</f>
        <v/>
      </c>
      <c r="R71" s="82" t="str" cm="1">
        <f t="array" ref="R71">IFERROR(TEXT(INDEX('Portfolio 3_2'!$O$3:$AK$101,'Portfolio 3_2'!$AP71,16),"dd/mm/yyyy"),"")</f>
        <v/>
      </c>
      <c r="S71" s="82" t="str" cm="1">
        <f t="array" ref="S71">IFERROR(INDEX('Portfolio 3_2'!$O$3:$AK$101,'Portfolio 3_2'!$AP71,20),"")</f>
        <v/>
      </c>
      <c r="T71" s="82" t="str" cm="1">
        <f t="array" ref="T71">IFERROR(INDEX('Portfolio 3_2'!$O$3:$AK$101,'Portfolio 3_2'!$AP71,17),"")</f>
        <v/>
      </c>
      <c r="U71" s="83" t="str" cm="1">
        <f t="array" ref="U71">IFERROR(INDEX('Portfolio 3_2'!$O$3:$AK$101,'Portfolio 3_2'!$AP71,18),"")</f>
        <v/>
      </c>
      <c r="V71" s="83" t="str" cm="1">
        <f t="array" ref="V71">IFERROR(INDEX('Portfolio 3_2'!$O$3:$AK$101,'Portfolio 3_2'!$AP71,19),"")</f>
        <v/>
      </c>
      <c r="W71" s="1" t="str">
        <f t="shared" si="5"/>
        <v/>
      </c>
    </row>
    <row r="72" spans="1:23">
      <c r="A72" s="92" t="str">
        <f t="shared" si="4"/>
        <v/>
      </c>
      <c r="B72" s="82" t="str" cm="1">
        <f t="array" ref="B72">IFERROR(INDEX('Portfolio 3_2'!$O$3:$AK$101,'Portfolio 3_2'!$AP72,2),"")</f>
        <v/>
      </c>
      <c r="C72" s="82" t="str" cm="1">
        <f t="array" ref="C72">IFERROR(SUBSTITUTE(INDEX('Portfolio 3_2'!$O$3:$AK$101,'Portfolio 3_2'!$AP72,23),"น.ส.","นางสาว"),"")</f>
        <v/>
      </c>
      <c r="D72" s="82" t="str" cm="1">
        <f t="array" ref="D72">IFERROR(INDEX('Portfolio 3_2'!$O$3:$AK$101,'Portfolio 3_2'!$AP72,21),"")</f>
        <v/>
      </c>
      <c r="E72" s="82" t="str" cm="1">
        <f t="array" ref="E72">IFERROR(INDEX('Portfolio 3_2'!$O$3:$AK$101,'Portfolio 3_2'!$AP72,22),"")</f>
        <v/>
      </c>
      <c r="F72" s="82" t="str" cm="1">
        <f t="array" ref="F72">IFERROR(SUBSTITUTE(INDEX('Portfolio 3_2'!$O$3:$AK$101,'Portfolio 3_2'!$AP72,4),"+"," "),"")</f>
        <v/>
      </c>
      <c r="G72" s="82" t="str" cm="1">
        <f t="array" ref="G72">IFERROR(SUBSTITUTE(INDEX('Portfolio 3_2'!$O$3:$AK$101,'Portfolio 3_2'!$AP72,5),"+"," "),"")</f>
        <v/>
      </c>
      <c r="H72" s="82" t="str" cm="1">
        <f t="array" ref="H72">IFERROR(SUBSTITUTE(INDEX('Portfolio 3_2'!$O$3:$AK$101,'Portfolio 3_2'!$AP72,6),"+"," "),"")</f>
        <v/>
      </c>
      <c r="I72" s="82" t="str" cm="1">
        <f t="array" ref="I72">IFERROR(INDEX('Portfolio 3_2'!$O$3:$AK$101,'Portfolio 3_2'!$AP72,7),"")</f>
        <v/>
      </c>
      <c r="J72" s="82" t="str" cm="1">
        <f t="array" ref="J72">IFERROR(INDEX('Portfolio 3_2'!$O$3:$AK$101,'Portfolio 3_2'!$AP72,8),"")</f>
        <v/>
      </c>
      <c r="K72" s="82" t="str" cm="1">
        <f t="array" ref="K72">IFERROR(SUBSTITUTE(INDEX('Portfolio 3_2'!$O$3:$AK$101,'Portfolio 3_2'!$AP72,9),"+"," "),"")</f>
        <v/>
      </c>
      <c r="L72" s="82" t="str" cm="1">
        <f t="array" ref="L72">IFERROR(SUBSTITUTE(INDEX('Portfolio 3_2'!$O$3:$AK$101,'Portfolio 3_2'!$AP72,12),"+"," "),"")</f>
        <v/>
      </c>
      <c r="M72" s="82" t="str" cm="1">
        <f t="array" ref="M72">IFERROR(SUBSTITUTE(INDEX('Portfolio 3_2'!$O$3:$AK$101,'Portfolio 3_2'!$AP72,10),"+"," "),"")</f>
        <v/>
      </c>
      <c r="N72" s="82" t="str" cm="1">
        <f t="array" ref="N72">IFERROR(SUBSTITUTE(INDEX('Portfolio 3_2'!$O$3:$AK$101,'Portfolio 3_2'!$AP72,11),"+"," "),"")</f>
        <v/>
      </c>
      <c r="O72" s="82" t="str" cm="1">
        <f t="array" ref="O72">IFERROR(SUBSTITUTE(INDEX('Portfolio 3_2'!$O$3:$AK$101,'Portfolio 3_2'!$AP72,13),"+"," "),"")</f>
        <v/>
      </c>
      <c r="P72" s="82" t="str" cm="1">
        <f t="array" ref="P72">IFERROR(IF(ISNUMBER(FIND("กรุงเทพ",INDEX('Portfolio 3_2'!$O$3:$AK$101,'Portfolio 3_2'!$AP72,14))),"กรุงเทพมหานคร",INDEX('Portfolio 3_2'!$O$3:$AK$101,'Portfolio 3_2'!$AP72,14)),"")</f>
        <v/>
      </c>
      <c r="Q72" s="82" t="str" cm="1">
        <f t="array" ref="Q72">IFERROR(INDEX('Portfolio 3_2'!$O$3:$AK$101,'Portfolio 3_2'!$AP72,15),"")</f>
        <v/>
      </c>
      <c r="R72" s="82" t="str" cm="1">
        <f t="array" ref="R72">IFERROR(TEXT(INDEX('Portfolio 3_2'!$O$3:$AK$101,'Portfolio 3_2'!$AP72,16),"dd/mm/yyyy"),"")</f>
        <v/>
      </c>
      <c r="S72" s="82" t="str" cm="1">
        <f t="array" ref="S72">IFERROR(INDEX('Portfolio 3_2'!$O$3:$AK$101,'Portfolio 3_2'!$AP72,20),"")</f>
        <v/>
      </c>
      <c r="T72" s="82" t="str" cm="1">
        <f t="array" ref="T72">IFERROR(INDEX('Portfolio 3_2'!$O$3:$AK$101,'Portfolio 3_2'!$AP72,17),"")</f>
        <v/>
      </c>
      <c r="U72" s="83" t="str" cm="1">
        <f t="array" ref="U72">IFERROR(INDEX('Portfolio 3_2'!$O$3:$AK$101,'Portfolio 3_2'!$AP72,18),"")</f>
        <v/>
      </c>
      <c r="V72" s="83" t="str" cm="1">
        <f t="array" ref="V72">IFERROR(INDEX('Portfolio 3_2'!$O$3:$AK$101,'Portfolio 3_2'!$AP72,19),"")</f>
        <v/>
      </c>
      <c r="W72" s="1" t="str">
        <f t="shared" si="5"/>
        <v/>
      </c>
    </row>
    <row r="73" spans="1:23">
      <c r="A73" s="92" t="str">
        <f t="shared" si="4"/>
        <v/>
      </c>
      <c r="B73" s="82" t="str" cm="1">
        <f t="array" ref="B73">IFERROR(INDEX('Portfolio 3_2'!$O$3:$AK$101,'Portfolio 3_2'!$AP73,2),"")</f>
        <v/>
      </c>
      <c r="C73" s="82" t="str" cm="1">
        <f t="array" ref="C73">IFERROR(SUBSTITUTE(INDEX('Portfolio 3_2'!$O$3:$AK$101,'Portfolio 3_2'!$AP73,23),"น.ส.","นางสาว"),"")</f>
        <v/>
      </c>
      <c r="D73" s="82" t="str" cm="1">
        <f t="array" ref="D73">IFERROR(INDEX('Portfolio 3_2'!$O$3:$AK$101,'Portfolio 3_2'!$AP73,21),"")</f>
        <v/>
      </c>
      <c r="E73" s="82" t="str" cm="1">
        <f t="array" ref="E73">IFERROR(INDEX('Portfolio 3_2'!$O$3:$AK$101,'Portfolio 3_2'!$AP73,22),"")</f>
        <v/>
      </c>
      <c r="F73" s="82" t="str" cm="1">
        <f t="array" ref="F73">IFERROR(SUBSTITUTE(INDEX('Portfolio 3_2'!$O$3:$AK$101,'Portfolio 3_2'!$AP73,4),"+"," "),"")</f>
        <v/>
      </c>
      <c r="G73" s="82" t="str" cm="1">
        <f t="array" ref="G73">IFERROR(SUBSTITUTE(INDEX('Portfolio 3_2'!$O$3:$AK$101,'Portfolio 3_2'!$AP73,5),"+"," "),"")</f>
        <v/>
      </c>
      <c r="H73" s="82" t="str" cm="1">
        <f t="array" ref="H73">IFERROR(SUBSTITUTE(INDEX('Portfolio 3_2'!$O$3:$AK$101,'Portfolio 3_2'!$AP73,6),"+"," "),"")</f>
        <v/>
      </c>
      <c r="I73" s="82" t="str" cm="1">
        <f t="array" ref="I73">IFERROR(INDEX('Portfolio 3_2'!$O$3:$AK$101,'Portfolio 3_2'!$AP73,7),"")</f>
        <v/>
      </c>
      <c r="J73" s="82" t="str" cm="1">
        <f t="array" ref="J73">IFERROR(INDEX('Portfolio 3_2'!$O$3:$AK$101,'Portfolio 3_2'!$AP73,8),"")</f>
        <v/>
      </c>
      <c r="K73" s="82" t="str" cm="1">
        <f t="array" ref="K73">IFERROR(SUBSTITUTE(INDEX('Portfolio 3_2'!$O$3:$AK$101,'Portfolio 3_2'!$AP73,9),"+"," "),"")</f>
        <v/>
      </c>
      <c r="L73" s="82" t="str" cm="1">
        <f t="array" ref="L73">IFERROR(SUBSTITUTE(INDEX('Portfolio 3_2'!$O$3:$AK$101,'Portfolio 3_2'!$AP73,12),"+"," "),"")</f>
        <v/>
      </c>
      <c r="M73" s="82" t="str" cm="1">
        <f t="array" ref="M73">IFERROR(SUBSTITUTE(INDEX('Portfolio 3_2'!$O$3:$AK$101,'Portfolio 3_2'!$AP73,10),"+"," "),"")</f>
        <v/>
      </c>
      <c r="N73" s="82" t="str" cm="1">
        <f t="array" ref="N73">IFERROR(SUBSTITUTE(INDEX('Portfolio 3_2'!$O$3:$AK$101,'Portfolio 3_2'!$AP73,11),"+"," "),"")</f>
        <v/>
      </c>
      <c r="O73" s="82" t="str" cm="1">
        <f t="array" ref="O73">IFERROR(SUBSTITUTE(INDEX('Portfolio 3_2'!$O$3:$AK$101,'Portfolio 3_2'!$AP73,13),"+"," "),"")</f>
        <v/>
      </c>
      <c r="P73" s="82" t="str" cm="1">
        <f t="array" ref="P73">IFERROR(IF(ISNUMBER(FIND("กรุงเทพ",INDEX('Portfolio 3_2'!$O$3:$AK$101,'Portfolio 3_2'!$AP73,14))),"กรุงเทพมหานคร",INDEX('Portfolio 3_2'!$O$3:$AK$101,'Portfolio 3_2'!$AP73,14)),"")</f>
        <v/>
      </c>
      <c r="Q73" s="82" t="str" cm="1">
        <f t="array" ref="Q73">IFERROR(INDEX('Portfolio 3_2'!$O$3:$AK$101,'Portfolio 3_2'!$AP73,15),"")</f>
        <v/>
      </c>
      <c r="R73" s="82" t="str" cm="1">
        <f t="array" ref="R73">IFERROR(TEXT(INDEX('Portfolio 3_2'!$O$3:$AK$101,'Portfolio 3_2'!$AP73,16),"dd/mm/yyyy"),"")</f>
        <v/>
      </c>
      <c r="S73" s="82" t="str" cm="1">
        <f t="array" ref="S73">IFERROR(INDEX('Portfolio 3_2'!$O$3:$AK$101,'Portfolio 3_2'!$AP73,20),"")</f>
        <v/>
      </c>
      <c r="T73" s="82" t="str" cm="1">
        <f t="array" ref="T73">IFERROR(INDEX('Portfolio 3_2'!$O$3:$AK$101,'Portfolio 3_2'!$AP73,17),"")</f>
        <v/>
      </c>
      <c r="U73" s="83" t="str" cm="1">
        <f t="array" ref="U73">IFERROR(INDEX('Portfolio 3_2'!$O$3:$AK$101,'Portfolio 3_2'!$AP73,18),"")</f>
        <v/>
      </c>
      <c r="V73" s="83" t="str" cm="1">
        <f t="array" ref="V73">IFERROR(INDEX('Portfolio 3_2'!$O$3:$AK$101,'Portfolio 3_2'!$AP73,19),"")</f>
        <v/>
      </c>
      <c r="W73" s="1" t="str">
        <f t="shared" si="5"/>
        <v/>
      </c>
    </row>
    <row r="74" spans="1:23">
      <c r="A74" s="92" t="str">
        <f t="shared" si="4"/>
        <v/>
      </c>
      <c r="B74" s="82" t="str" cm="1">
        <f t="array" ref="B74">IFERROR(INDEX('Portfolio 3_2'!$O$3:$AK$101,'Portfolio 3_2'!$AP74,2),"")</f>
        <v/>
      </c>
      <c r="C74" s="82" t="str" cm="1">
        <f t="array" ref="C74">IFERROR(SUBSTITUTE(INDEX('Portfolio 3_2'!$O$3:$AK$101,'Portfolio 3_2'!$AP74,23),"น.ส.","นางสาว"),"")</f>
        <v/>
      </c>
      <c r="D74" s="82" t="str" cm="1">
        <f t="array" ref="D74">IFERROR(INDEX('Portfolio 3_2'!$O$3:$AK$101,'Portfolio 3_2'!$AP74,21),"")</f>
        <v/>
      </c>
      <c r="E74" s="82" t="str" cm="1">
        <f t="array" ref="E74">IFERROR(INDEX('Portfolio 3_2'!$O$3:$AK$101,'Portfolio 3_2'!$AP74,22),"")</f>
        <v/>
      </c>
      <c r="F74" s="82" t="str" cm="1">
        <f t="array" ref="F74">IFERROR(SUBSTITUTE(INDEX('Portfolio 3_2'!$O$3:$AK$101,'Portfolio 3_2'!$AP74,4),"+"," "),"")</f>
        <v/>
      </c>
      <c r="G74" s="82" t="str" cm="1">
        <f t="array" ref="G74">IFERROR(SUBSTITUTE(INDEX('Portfolio 3_2'!$O$3:$AK$101,'Portfolio 3_2'!$AP74,5),"+"," "),"")</f>
        <v/>
      </c>
      <c r="H74" s="82" t="str" cm="1">
        <f t="array" ref="H74">IFERROR(SUBSTITUTE(INDEX('Portfolio 3_2'!$O$3:$AK$101,'Portfolio 3_2'!$AP74,6),"+"," "),"")</f>
        <v/>
      </c>
      <c r="I74" s="82" t="str" cm="1">
        <f t="array" ref="I74">IFERROR(INDEX('Portfolio 3_2'!$O$3:$AK$101,'Portfolio 3_2'!$AP74,7),"")</f>
        <v/>
      </c>
      <c r="J74" s="82" t="str" cm="1">
        <f t="array" ref="J74">IFERROR(INDEX('Portfolio 3_2'!$O$3:$AK$101,'Portfolio 3_2'!$AP74,8),"")</f>
        <v/>
      </c>
      <c r="K74" s="82" t="str" cm="1">
        <f t="array" ref="K74">IFERROR(SUBSTITUTE(INDEX('Portfolio 3_2'!$O$3:$AK$101,'Portfolio 3_2'!$AP74,9),"+"," "),"")</f>
        <v/>
      </c>
      <c r="L74" s="82" t="str" cm="1">
        <f t="array" ref="L74">IFERROR(SUBSTITUTE(INDEX('Portfolio 3_2'!$O$3:$AK$101,'Portfolio 3_2'!$AP74,12),"+"," "),"")</f>
        <v/>
      </c>
      <c r="M74" s="82" t="str" cm="1">
        <f t="array" ref="M74">IFERROR(SUBSTITUTE(INDEX('Portfolio 3_2'!$O$3:$AK$101,'Portfolio 3_2'!$AP74,10),"+"," "),"")</f>
        <v/>
      </c>
      <c r="N74" s="82" t="str" cm="1">
        <f t="array" ref="N74">IFERROR(SUBSTITUTE(INDEX('Portfolio 3_2'!$O$3:$AK$101,'Portfolio 3_2'!$AP74,11),"+"," "),"")</f>
        <v/>
      </c>
      <c r="O74" s="82" t="str" cm="1">
        <f t="array" ref="O74">IFERROR(SUBSTITUTE(INDEX('Portfolio 3_2'!$O$3:$AK$101,'Portfolio 3_2'!$AP74,13),"+"," "),"")</f>
        <v/>
      </c>
      <c r="P74" s="82" t="str" cm="1">
        <f t="array" ref="P74">IFERROR(IF(ISNUMBER(FIND("กรุงเทพ",INDEX('Portfolio 3_2'!$O$3:$AK$101,'Portfolio 3_2'!$AP74,14))),"กรุงเทพมหานคร",INDEX('Portfolio 3_2'!$O$3:$AK$101,'Portfolio 3_2'!$AP74,14)),"")</f>
        <v/>
      </c>
      <c r="Q74" s="82" t="str" cm="1">
        <f t="array" ref="Q74">IFERROR(INDEX('Portfolio 3_2'!$O$3:$AK$101,'Portfolio 3_2'!$AP74,15),"")</f>
        <v/>
      </c>
      <c r="R74" s="82" t="str" cm="1">
        <f t="array" ref="R74">IFERROR(TEXT(INDEX('Portfolio 3_2'!$O$3:$AK$101,'Portfolio 3_2'!$AP74,16),"dd/mm/yyyy"),"")</f>
        <v/>
      </c>
      <c r="S74" s="82" t="str" cm="1">
        <f t="array" ref="S74">IFERROR(INDEX('Portfolio 3_2'!$O$3:$AK$101,'Portfolio 3_2'!$AP74,20),"")</f>
        <v/>
      </c>
      <c r="T74" s="82" t="str" cm="1">
        <f t="array" ref="T74">IFERROR(INDEX('Portfolio 3_2'!$O$3:$AK$101,'Portfolio 3_2'!$AP74,17),"")</f>
        <v/>
      </c>
      <c r="U74" s="83" t="str" cm="1">
        <f t="array" ref="U74">IFERROR(INDEX('Portfolio 3_2'!$O$3:$AK$101,'Portfolio 3_2'!$AP74,18),"")</f>
        <v/>
      </c>
      <c r="V74" s="83" t="str" cm="1">
        <f t="array" ref="V74">IFERROR(INDEX('Portfolio 3_2'!$O$3:$AK$101,'Portfolio 3_2'!$AP74,19),"")</f>
        <v/>
      </c>
      <c r="W74" s="1" t="str">
        <f t="shared" si="5"/>
        <v/>
      </c>
    </row>
    <row r="75" spans="1:23">
      <c r="A75" s="92" t="str">
        <f t="shared" si="4"/>
        <v/>
      </c>
      <c r="B75" s="82" t="str" cm="1">
        <f t="array" ref="B75">IFERROR(INDEX('Portfolio 3_2'!$O$3:$AK$101,'Portfolio 3_2'!$AP75,2),"")</f>
        <v/>
      </c>
      <c r="C75" s="82" t="str" cm="1">
        <f t="array" ref="C75">IFERROR(SUBSTITUTE(INDEX('Portfolio 3_2'!$O$3:$AK$101,'Portfolio 3_2'!$AP75,23),"น.ส.","นางสาว"),"")</f>
        <v/>
      </c>
      <c r="D75" s="82" t="str" cm="1">
        <f t="array" ref="D75">IFERROR(INDEX('Portfolio 3_2'!$O$3:$AK$101,'Portfolio 3_2'!$AP75,21),"")</f>
        <v/>
      </c>
      <c r="E75" s="82" t="str" cm="1">
        <f t="array" ref="E75">IFERROR(INDEX('Portfolio 3_2'!$O$3:$AK$101,'Portfolio 3_2'!$AP75,22),"")</f>
        <v/>
      </c>
      <c r="F75" s="82" t="str" cm="1">
        <f t="array" ref="F75">IFERROR(SUBSTITUTE(INDEX('Portfolio 3_2'!$O$3:$AK$101,'Portfolio 3_2'!$AP75,4),"+"," "),"")</f>
        <v/>
      </c>
      <c r="G75" s="82" t="str" cm="1">
        <f t="array" ref="G75">IFERROR(SUBSTITUTE(INDEX('Portfolio 3_2'!$O$3:$AK$101,'Portfolio 3_2'!$AP75,5),"+"," "),"")</f>
        <v/>
      </c>
      <c r="H75" s="82" t="str" cm="1">
        <f t="array" ref="H75">IFERROR(SUBSTITUTE(INDEX('Portfolio 3_2'!$O$3:$AK$101,'Portfolio 3_2'!$AP75,6),"+"," "),"")</f>
        <v/>
      </c>
      <c r="I75" s="82" t="str" cm="1">
        <f t="array" ref="I75">IFERROR(INDEX('Portfolio 3_2'!$O$3:$AK$101,'Portfolio 3_2'!$AP75,7),"")</f>
        <v/>
      </c>
      <c r="J75" s="82" t="str" cm="1">
        <f t="array" ref="J75">IFERROR(INDEX('Portfolio 3_2'!$O$3:$AK$101,'Portfolio 3_2'!$AP75,8),"")</f>
        <v/>
      </c>
      <c r="K75" s="82" t="str" cm="1">
        <f t="array" ref="K75">IFERROR(SUBSTITUTE(INDEX('Portfolio 3_2'!$O$3:$AK$101,'Portfolio 3_2'!$AP75,9),"+"," "),"")</f>
        <v/>
      </c>
      <c r="L75" s="82" t="str" cm="1">
        <f t="array" ref="L75">IFERROR(SUBSTITUTE(INDEX('Portfolio 3_2'!$O$3:$AK$101,'Portfolio 3_2'!$AP75,12),"+"," "),"")</f>
        <v/>
      </c>
      <c r="M75" s="82" t="str" cm="1">
        <f t="array" ref="M75">IFERROR(SUBSTITUTE(INDEX('Portfolio 3_2'!$O$3:$AK$101,'Portfolio 3_2'!$AP75,10),"+"," "),"")</f>
        <v/>
      </c>
      <c r="N75" s="82" t="str" cm="1">
        <f t="array" ref="N75">IFERROR(SUBSTITUTE(INDEX('Portfolio 3_2'!$O$3:$AK$101,'Portfolio 3_2'!$AP75,11),"+"," "),"")</f>
        <v/>
      </c>
      <c r="O75" s="82" t="str" cm="1">
        <f t="array" ref="O75">IFERROR(SUBSTITUTE(INDEX('Portfolio 3_2'!$O$3:$AK$101,'Portfolio 3_2'!$AP75,13),"+"," "),"")</f>
        <v/>
      </c>
      <c r="P75" s="82" t="str" cm="1">
        <f t="array" ref="P75">IFERROR(IF(ISNUMBER(FIND("กรุงเทพ",INDEX('Portfolio 3_2'!$O$3:$AK$101,'Portfolio 3_2'!$AP75,14))),"กรุงเทพมหานคร",INDEX('Portfolio 3_2'!$O$3:$AK$101,'Portfolio 3_2'!$AP75,14)),"")</f>
        <v/>
      </c>
      <c r="Q75" s="82" t="str" cm="1">
        <f t="array" ref="Q75">IFERROR(INDEX('Portfolio 3_2'!$O$3:$AK$101,'Portfolio 3_2'!$AP75,15),"")</f>
        <v/>
      </c>
      <c r="R75" s="82" t="str" cm="1">
        <f t="array" ref="R75">IFERROR(TEXT(INDEX('Portfolio 3_2'!$O$3:$AK$101,'Portfolio 3_2'!$AP75,16),"dd/mm/yyyy"),"")</f>
        <v/>
      </c>
      <c r="S75" s="82" t="str" cm="1">
        <f t="array" ref="S75">IFERROR(INDEX('Portfolio 3_2'!$O$3:$AK$101,'Portfolio 3_2'!$AP75,20),"")</f>
        <v/>
      </c>
      <c r="T75" s="82" t="str" cm="1">
        <f t="array" ref="T75">IFERROR(INDEX('Portfolio 3_2'!$O$3:$AK$101,'Portfolio 3_2'!$AP75,17),"")</f>
        <v/>
      </c>
      <c r="U75" s="83" t="str" cm="1">
        <f t="array" ref="U75">IFERROR(INDEX('Portfolio 3_2'!$O$3:$AK$101,'Portfolio 3_2'!$AP75,18),"")</f>
        <v/>
      </c>
      <c r="V75" s="83" t="str" cm="1">
        <f t="array" ref="V75">IFERROR(INDEX('Portfolio 3_2'!$O$3:$AK$101,'Portfolio 3_2'!$AP75,19),"")</f>
        <v/>
      </c>
      <c r="W75" s="1" t="str">
        <f t="shared" si="5"/>
        <v/>
      </c>
    </row>
    <row r="76" spans="1:23">
      <c r="A76" s="92" t="str">
        <f t="shared" si="4"/>
        <v/>
      </c>
      <c r="B76" s="82" t="str" cm="1">
        <f t="array" ref="B76">IFERROR(INDEX('Portfolio 3_2'!$O$3:$AK$101,'Portfolio 3_2'!$AP76,2),"")</f>
        <v/>
      </c>
      <c r="C76" s="82" t="str" cm="1">
        <f t="array" ref="C76">IFERROR(SUBSTITUTE(INDEX('Portfolio 3_2'!$O$3:$AK$101,'Portfolio 3_2'!$AP76,23),"น.ส.","นางสาว"),"")</f>
        <v/>
      </c>
      <c r="D76" s="82" t="str" cm="1">
        <f t="array" ref="D76">IFERROR(INDEX('Portfolio 3_2'!$O$3:$AK$101,'Portfolio 3_2'!$AP76,21),"")</f>
        <v/>
      </c>
      <c r="E76" s="82" t="str" cm="1">
        <f t="array" ref="E76">IFERROR(INDEX('Portfolio 3_2'!$O$3:$AK$101,'Portfolio 3_2'!$AP76,22),"")</f>
        <v/>
      </c>
      <c r="F76" s="82" t="str" cm="1">
        <f t="array" ref="F76">IFERROR(SUBSTITUTE(INDEX('Portfolio 3_2'!$O$3:$AK$101,'Portfolio 3_2'!$AP76,4),"+"," "),"")</f>
        <v/>
      </c>
      <c r="G76" s="82" t="str" cm="1">
        <f t="array" ref="G76">IFERROR(SUBSTITUTE(INDEX('Portfolio 3_2'!$O$3:$AK$101,'Portfolio 3_2'!$AP76,5),"+"," "),"")</f>
        <v/>
      </c>
      <c r="H76" s="82" t="str" cm="1">
        <f t="array" ref="H76">IFERROR(SUBSTITUTE(INDEX('Portfolio 3_2'!$O$3:$AK$101,'Portfolio 3_2'!$AP76,6),"+"," "),"")</f>
        <v/>
      </c>
      <c r="I76" s="82" t="str" cm="1">
        <f t="array" ref="I76">IFERROR(INDEX('Portfolio 3_2'!$O$3:$AK$101,'Portfolio 3_2'!$AP76,7),"")</f>
        <v/>
      </c>
      <c r="J76" s="82" t="str" cm="1">
        <f t="array" ref="J76">IFERROR(INDEX('Portfolio 3_2'!$O$3:$AK$101,'Portfolio 3_2'!$AP76,8),"")</f>
        <v/>
      </c>
      <c r="K76" s="82" t="str" cm="1">
        <f t="array" ref="K76">IFERROR(SUBSTITUTE(INDEX('Portfolio 3_2'!$O$3:$AK$101,'Portfolio 3_2'!$AP76,9),"+"," "),"")</f>
        <v/>
      </c>
      <c r="L76" s="82" t="str" cm="1">
        <f t="array" ref="L76">IFERROR(SUBSTITUTE(INDEX('Portfolio 3_2'!$O$3:$AK$101,'Portfolio 3_2'!$AP76,12),"+"," "),"")</f>
        <v/>
      </c>
      <c r="M76" s="82" t="str" cm="1">
        <f t="array" ref="M76">IFERROR(SUBSTITUTE(INDEX('Portfolio 3_2'!$O$3:$AK$101,'Portfolio 3_2'!$AP76,10),"+"," "),"")</f>
        <v/>
      </c>
      <c r="N76" s="82" t="str" cm="1">
        <f t="array" ref="N76">IFERROR(SUBSTITUTE(INDEX('Portfolio 3_2'!$O$3:$AK$101,'Portfolio 3_2'!$AP76,11),"+"," "),"")</f>
        <v/>
      </c>
      <c r="O76" s="82" t="str" cm="1">
        <f t="array" ref="O76">IFERROR(SUBSTITUTE(INDEX('Portfolio 3_2'!$O$3:$AK$101,'Portfolio 3_2'!$AP76,13),"+"," "),"")</f>
        <v/>
      </c>
      <c r="P76" s="82" t="str" cm="1">
        <f t="array" ref="P76">IFERROR(IF(ISNUMBER(FIND("กรุงเทพ",INDEX('Portfolio 3_2'!$O$3:$AK$101,'Portfolio 3_2'!$AP76,14))),"กรุงเทพมหานคร",INDEX('Portfolio 3_2'!$O$3:$AK$101,'Portfolio 3_2'!$AP76,14)),"")</f>
        <v/>
      </c>
      <c r="Q76" s="82" t="str" cm="1">
        <f t="array" ref="Q76">IFERROR(INDEX('Portfolio 3_2'!$O$3:$AK$101,'Portfolio 3_2'!$AP76,15),"")</f>
        <v/>
      </c>
      <c r="R76" s="82" t="str" cm="1">
        <f t="array" ref="R76">IFERROR(TEXT(INDEX('Portfolio 3_2'!$O$3:$AK$101,'Portfolio 3_2'!$AP76,16),"dd/mm/yyyy"),"")</f>
        <v/>
      </c>
      <c r="S76" s="82" t="str" cm="1">
        <f t="array" ref="S76">IFERROR(INDEX('Portfolio 3_2'!$O$3:$AK$101,'Portfolio 3_2'!$AP76,20),"")</f>
        <v/>
      </c>
      <c r="T76" s="82" t="str" cm="1">
        <f t="array" ref="T76">IFERROR(INDEX('Portfolio 3_2'!$O$3:$AK$101,'Portfolio 3_2'!$AP76,17),"")</f>
        <v/>
      </c>
      <c r="U76" s="83" t="str" cm="1">
        <f t="array" ref="U76">IFERROR(INDEX('Portfolio 3_2'!$O$3:$AK$101,'Portfolio 3_2'!$AP76,18),"")</f>
        <v/>
      </c>
      <c r="V76" s="83" t="str" cm="1">
        <f t="array" ref="V76">IFERROR(INDEX('Portfolio 3_2'!$O$3:$AK$101,'Portfolio 3_2'!$AP76,19),"")</f>
        <v/>
      </c>
      <c r="W76" s="1" t="str">
        <f t="shared" si="5"/>
        <v/>
      </c>
    </row>
    <row r="77" spans="1:23">
      <c r="A77" s="92" t="str">
        <f t="shared" si="4"/>
        <v/>
      </c>
      <c r="B77" s="82" t="str" cm="1">
        <f t="array" ref="B77">IFERROR(INDEX('Portfolio 3_2'!$O$3:$AK$101,'Portfolio 3_2'!$AP77,2),"")</f>
        <v/>
      </c>
      <c r="C77" s="82" t="str" cm="1">
        <f t="array" ref="C77">IFERROR(SUBSTITUTE(INDEX('Portfolio 3_2'!$O$3:$AK$101,'Portfolio 3_2'!$AP77,23),"น.ส.","นางสาว"),"")</f>
        <v/>
      </c>
      <c r="D77" s="82" t="str" cm="1">
        <f t="array" ref="D77">IFERROR(INDEX('Portfolio 3_2'!$O$3:$AK$101,'Portfolio 3_2'!$AP77,21),"")</f>
        <v/>
      </c>
      <c r="E77" s="82" t="str" cm="1">
        <f t="array" ref="E77">IFERROR(INDEX('Portfolio 3_2'!$O$3:$AK$101,'Portfolio 3_2'!$AP77,22),"")</f>
        <v/>
      </c>
      <c r="F77" s="82" t="str" cm="1">
        <f t="array" ref="F77">IFERROR(SUBSTITUTE(INDEX('Portfolio 3_2'!$O$3:$AK$101,'Portfolio 3_2'!$AP77,4),"+"," "),"")</f>
        <v/>
      </c>
      <c r="G77" s="82" t="str" cm="1">
        <f t="array" ref="G77">IFERROR(SUBSTITUTE(INDEX('Portfolio 3_2'!$O$3:$AK$101,'Portfolio 3_2'!$AP77,5),"+"," "),"")</f>
        <v/>
      </c>
      <c r="H77" s="82" t="str" cm="1">
        <f t="array" ref="H77">IFERROR(SUBSTITUTE(INDEX('Portfolio 3_2'!$O$3:$AK$101,'Portfolio 3_2'!$AP77,6),"+"," "),"")</f>
        <v/>
      </c>
      <c r="I77" s="82" t="str" cm="1">
        <f t="array" ref="I77">IFERROR(INDEX('Portfolio 3_2'!$O$3:$AK$101,'Portfolio 3_2'!$AP77,7),"")</f>
        <v/>
      </c>
      <c r="J77" s="82" t="str" cm="1">
        <f t="array" ref="J77">IFERROR(INDEX('Portfolio 3_2'!$O$3:$AK$101,'Portfolio 3_2'!$AP77,8),"")</f>
        <v/>
      </c>
      <c r="K77" s="82" t="str" cm="1">
        <f t="array" ref="K77">IFERROR(SUBSTITUTE(INDEX('Portfolio 3_2'!$O$3:$AK$101,'Portfolio 3_2'!$AP77,9),"+"," "),"")</f>
        <v/>
      </c>
      <c r="L77" s="82" t="str" cm="1">
        <f t="array" ref="L77">IFERROR(SUBSTITUTE(INDEX('Portfolio 3_2'!$O$3:$AK$101,'Portfolio 3_2'!$AP77,12),"+"," "),"")</f>
        <v/>
      </c>
      <c r="M77" s="82" t="str" cm="1">
        <f t="array" ref="M77">IFERROR(SUBSTITUTE(INDEX('Portfolio 3_2'!$O$3:$AK$101,'Portfolio 3_2'!$AP77,10),"+"," "),"")</f>
        <v/>
      </c>
      <c r="N77" s="82" t="str" cm="1">
        <f t="array" ref="N77">IFERROR(SUBSTITUTE(INDEX('Portfolio 3_2'!$O$3:$AK$101,'Portfolio 3_2'!$AP77,11),"+"," "),"")</f>
        <v/>
      </c>
      <c r="O77" s="82" t="str" cm="1">
        <f t="array" ref="O77">IFERROR(SUBSTITUTE(INDEX('Portfolio 3_2'!$O$3:$AK$101,'Portfolio 3_2'!$AP77,13),"+"," "),"")</f>
        <v/>
      </c>
      <c r="P77" s="82" t="str" cm="1">
        <f t="array" ref="P77">IFERROR(IF(ISNUMBER(FIND("กรุงเทพ",INDEX('Portfolio 3_2'!$O$3:$AK$101,'Portfolio 3_2'!$AP77,14))),"กรุงเทพมหานคร",INDEX('Portfolio 3_2'!$O$3:$AK$101,'Portfolio 3_2'!$AP77,14)),"")</f>
        <v/>
      </c>
      <c r="Q77" s="82" t="str" cm="1">
        <f t="array" ref="Q77">IFERROR(INDEX('Portfolio 3_2'!$O$3:$AK$101,'Portfolio 3_2'!$AP77,15),"")</f>
        <v/>
      </c>
      <c r="R77" s="82" t="str" cm="1">
        <f t="array" ref="R77">IFERROR(TEXT(INDEX('Portfolio 3_2'!$O$3:$AK$101,'Portfolio 3_2'!$AP77,16),"dd/mm/yyyy"),"")</f>
        <v/>
      </c>
      <c r="S77" s="82" t="str" cm="1">
        <f t="array" ref="S77">IFERROR(INDEX('Portfolio 3_2'!$O$3:$AK$101,'Portfolio 3_2'!$AP77,20),"")</f>
        <v/>
      </c>
      <c r="T77" s="82" t="str" cm="1">
        <f t="array" ref="T77">IFERROR(INDEX('Portfolio 3_2'!$O$3:$AK$101,'Portfolio 3_2'!$AP77,17),"")</f>
        <v/>
      </c>
      <c r="U77" s="83" t="str" cm="1">
        <f t="array" ref="U77">IFERROR(INDEX('Portfolio 3_2'!$O$3:$AK$101,'Portfolio 3_2'!$AP77,18),"")</f>
        <v/>
      </c>
      <c r="V77" s="83" t="str" cm="1">
        <f t="array" ref="V77">IFERROR(INDEX('Portfolio 3_2'!$O$3:$AK$101,'Portfolio 3_2'!$AP77,19),"")</f>
        <v/>
      </c>
      <c r="W77" s="1" t="str">
        <f t="shared" si="5"/>
        <v/>
      </c>
    </row>
    <row r="78" spans="1:23">
      <c r="A78" s="92" t="str">
        <f t="shared" si="4"/>
        <v/>
      </c>
      <c r="B78" s="82" t="str" cm="1">
        <f t="array" ref="B78">IFERROR(INDEX('Portfolio 3_2'!$O$3:$AK$101,'Portfolio 3_2'!$AP78,2),"")</f>
        <v/>
      </c>
      <c r="C78" s="82" t="str" cm="1">
        <f t="array" ref="C78">IFERROR(SUBSTITUTE(INDEX('Portfolio 3_2'!$O$3:$AK$101,'Portfolio 3_2'!$AP78,23),"น.ส.","นางสาว"),"")</f>
        <v/>
      </c>
      <c r="D78" s="82" t="str" cm="1">
        <f t="array" ref="D78">IFERROR(INDEX('Portfolio 3_2'!$O$3:$AK$101,'Portfolio 3_2'!$AP78,21),"")</f>
        <v/>
      </c>
      <c r="E78" s="82" t="str" cm="1">
        <f t="array" ref="E78">IFERROR(INDEX('Portfolio 3_2'!$O$3:$AK$101,'Portfolio 3_2'!$AP78,22),"")</f>
        <v/>
      </c>
      <c r="F78" s="82" t="str" cm="1">
        <f t="array" ref="F78">IFERROR(SUBSTITUTE(INDEX('Portfolio 3_2'!$O$3:$AK$101,'Portfolio 3_2'!$AP78,4),"+"," "),"")</f>
        <v/>
      </c>
      <c r="G78" s="82" t="str" cm="1">
        <f t="array" ref="G78">IFERROR(SUBSTITUTE(INDEX('Portfolio 3_2'!$O$3:$AK$101,'Portfolio 3_2'!$AP78,5),"+"," "),"")</f>
        <v/>
      </c>
      <c r="H78" s="82" t="str" cm="1">
        <f t="array" ref="H78">IFERROR(SUBSTITUTE(INDEX('Portfolio 3_2'!$O$3:$AK$101,'Portfolio 3_2'!$AP78,6),"+"," "),"")</f>
        <v/>
      </c>
      <c r="I78" s="82" t="str" cm="1">
        <f t="array" ref="I78">IFERROR(INDEX('Portfolio 3_2'!$O$3:$AK$101,'Portfolio 3_2'!$AP78,7),"")</f>
        <v/>
      </c>
      <c r="J78" s="82" t="str" cm="1">
        <f t="array" ref="J78">IFERROR(INDEX('Portfolio 3_2'!$O$3:$AK$101,'Portfolio 3_2'!$AP78,8),"")</f>
        <v/>
      </c>
      <c r="K78" s="82" t="str" cm="1">
        <f t="array" ref="K78">IFERROR(SUBSTITUTE(INDEX('Portfolio 3_2'!$O$3:$AK$101,'Portfolio 3_2'!$AP78,9),"+"," "),"")</f>
        <v/>
      </c>
      <c r="L78" s="82" t="str" cm="1">
        <f t="array" ref="L78">IFERROR(SUBSTITUTE(INDEX('Portfolio 3_2'!$O$3:$AK$101,'Portfolio 3_2'!$AP78,12),"+"," "),"")</f>
        <v/>
      </c>
      <c r="M78" s="82" t="str" cm="1">
        <f t="array" ref="M78">IFERROR(SUBSTITUTE(INDEX('Portfolio 3_2'!$O$3:$AK$101,'Portfolio 3_2'!$AP78,10),"+"," "),"")</f>
        <v/>
      </c>
      <c r="N78" s="82" t="str" cm="1">
        <f t="array" ref="N78">IFERROR(SUBSTITUTE(INDEX('Portfolio 3_2'!$O$3:$AK$101,'Portfolio 3_2'!$AP78,11),"+"," "),"")</f>
        <v/>
      </c>
      <c r="O78" s="82" t="str" cm="1">
        <f t="array" ref="O78">IFERROR(SUBSTITUTE(INDEX('Portfolio 3_2'!$O$3:$AK$101,'Portfolio 3_2'!$AP78,13),"+"," "),"")</f>
        <v/>
      </c>
      <c r="P78" s="82" t="str" cm="1">
        <f t="array" ref="P78">IFERROR(IF(ISNUMBER(FIND("กรุงเทพ",INDEX('Portfolio 3_2'!$O$3:$AK$101,'Portfolio 3_2'!$AP78,14))),"กรุงเทพมหานคร",INDEX('Portfolio 3_2'!$O$3:$AK$101,'Portfolio 3_2'!$AP78,14)),"")</f>
        <v/>
      </c>
      <c r="Q78" s="82" t="str" cm="1">
        <f t="array" ref="Q78">IFERROR(INDEX('Portfolio 3_2'!$O$3:$AK$101,'Portfolio 3_2'!$AP78,15),"")</f>
        <v/>
      </c>
      <c r="R78" s="82" t="str" cm="1">
        <f t="array" ref="R78">IFERROR(TEXT(INDEX('Portfolio 3_2'!$O$3:$AK$101,'Portfolio 3_2'!$AP78,16),"dd/mm/yyyy"),"")</f>
        <v/>
      </c>
      <c r="S78" s="82" t="str" cm="1">
        <f t="array" ref="S78">IFERROR(INDEX('Portfolio 3_2'!$O$3:$AK$101,'Portfolio 3_2'!$AP78,20),"")</f>
        <v/>
      </c>
      <c r="T78" s="82" t="str" cm="1">
        <f t="array" ref="T78">IFERROR(INDEX('Portfolio 3_2'!$O$3:$AK$101,'Portfolio 3_2'!$AP78,17),"")</f>
        <v/>
      </c>
      <c r="U78" s="83" t="str" cm="1">
        <f t="array" ref="U78">IFERROR(INDEX('Portfolio 3_2'!$O$3:$AK$101,'Portfolio 3_2'!$AP78,18),"")</f>
        <v/>
      </c>
      <c r="V78" s="83" t="str" cm="1">
        <f t="array" ref="V78">IFERROR(INDEX('Portfolio 3_2'!$O$3:$AK$101,'Portfolio 3_2'!$AP78,19),"")</f>
        <v/>
      </c>
      <c r="W78" s="1" t="str">
        <f t="shared" si="5"/>
        <v/>
      </c>
    </row>
    <row r="79" spans="1:23">
      <c r="A79" s="92" t="str">
        <f t="shared" si="4"/>
        <v/>
      </c>
      <c r="B79" s="82" t="str" cm="1">
        <f t="array" ref="B79">IFERROR(INDEX('Portfolio 3_2'!$O$3:$AK$101,'Portfolio 3_2'!$AP79,2),"")</f>
        <v/>
      </c>
      <c r="C79" s="82" t="str" cm="1">
        <f t="array" ref="C79">IFERROR(SUBSTITUTE(INDEX('Portfolio 3_2'!$O$3:$AK$101,'Portfolio 3_2'!$AP79,23),"น.ส.","นางสาว"),"")</f>
        <v/>
      </c>
      <c r="D79" s="82" t="str" cm="1">
        <f t="array" ref="D79">IFERROR(INDEX('Portfolio 3_2'!$O$3:$AK$101,'Portfolio 3_2'!$AP79,21),"")</f>
        <v/>
      </c>
      <c r="E79" s="82" t="str" cm="1">
        <f t="array" ref="E79">IFERROR(INDEX('Portfolio 3_2'!$O$3:$AK$101,'Portfolio 3_2'!$AP79,22),"")</f>
        <v/>
      </c>
      <c r="F79" s="82" t="str" cm="1">
        <f t="array" ref="F79">IFERROR(SUBSTITUTE(INDEX('Portfolio 3_2'!$O$3:$AK$101,'Portfolio 3_2'!$AP79,4),"+"," "),"")</f>
        <v/>
      </c>
      <c r="G79" s="82" t="str" cm="1">
        <f t="array" ref="G79">IFERROR(SUBSTITUTE(INDEX('Portfolio 3_2'!$O$3:$AK$101,'Portfolio 3_2'!$AP79,5),"+"," "),"")</f>
        <v/>
      </c>
      <c r="H79" s="82" t="str" cm="1">
        <f t="array" ref="H79">IFERROR(SUBSTITUTE(INDEX('Portfolio 3_2'!$O$3:$AK$101,'Portfolio 3_2'!$AP79,6),"+"," "),"")</f>
        <v/>
      </c>
      <c r="I79" s="82" t="str" cm="1">
        <f t="array" ref="I79">IFERROR(INDEX('Portfolio 3_2'!$O$3:$AK$101,'Portfolio 3_2'!$AP79,7),"")</f>
        <v/>
      </c>
      <c r="J79" s="82" t="str" cm="1">
        <f t="array" ref="J79">IFERROR(INDEX('Portfolio 3_2'!$O$3:$AK$101,'Portfolio 3_2'!$AP79,8),"")</f>
        <v/>
      </c>
      <c r="K79" s="82" t="str" cm="1">
        <f t="array" ref="K79">IFERROR(SUBSTITUTE(INDEX('Portfolio 3_2'!$O$3:$AK$101,'Portfolio 3_2'!$AP79,9),"+"," "),"")</f>
        <v/>
      </c>
      <c r="L79" s="82" t="str" cm="1">
        <f t="array" ref="L79">IFERROR(SUBSTITUTE(INDEX('Portfolio 3_2'!$O$3:$AK$101,'Portfolio 3_2'!$AP79,12),"+"," "),"")</f>
        <v/>
      </c>
      <c r="M79" s="82" t="str" cm="1">
        <f t="array" ref="M79">IFERROR(SUBSTITUTE(INDEX('Portfolio 3_2'!$O$3:$AK$101,'Portfolio 3_2'!$AP79,10),"+"," "),"")</f>
        <v/>
      </c>
      <c r="N79" s="82" t="str" cm="1">
        <f t="array" ref="N79">IFERROR(SUBSTITUTE(INDEX('Portfolio 3_2'!$O$3:$AK$101,'Portfolio 3_2'!$AP79,11),"+"," "),"")</f>
        <v/>
      </c>
      <c r="O79" s="82" t="str" cm="1">
        <f t="array" ref="O79">IFERROR(SUBSTITUTE(INDEX('Portfolio 3_2'!$O$3:$AK$101,'Portfolio 3_2'!$AP79,13),"+"," "),"")</f>
        <v/>
      </c>
      <c r="P79" s="82" t="str" cm="1">
        <f t="array" ref="P79">IFERROR(IF(ISNUMBER(FIND("กรุงเทพ",INDEX('Portfolio 3_2'!$O$3:$AK$101,'Portfolio 3_2'!$AP79,14))),"กรุงเทพมหานคร",INDEX('Portfolio 3_2'!$O$3:$AK$101,'Portfolio 3_2'!$AP79,14)),"")</f>
        <v/>
      </c>
      <c r="Q79" s="82" t="str" cm="1">
        <f t="array" ref="Q79">IFERROR(INDEX('Portfolio 3_2'!$O$3:$AK$101,'Portfolio 3_2'!$AP79,15),"")</f>
        <v/>
      </c>
      <c r="R79" s="82" t="str" cm="1">
        <f t="array" ref="R79">IFERROR(TEXT(INDEX('Portfolio 3_2'!$O$3:$AK$101,'Portfolio 3_2'!$AP79,16),"dd/mm/yyyy"),"")</f>
        <v/>
      </c>
      <c r="S79" s="82" t="str" cm="1">
        <f t="array" ref="S79">IFERROR(INDEX('Portfolio 3_2'!$O$3:$AK$101,'Portfolio 3_2'!$AP79,20),"")</f>
        <v/>
      </c>
      <c r="T79" s="82" t="str" cm="1">
        <f t="array" ref="T79">IFERROR(INDEX('Portfolio 3_2'!$O$3:$AK$101,'Portfolio 3_2'!$AP79,17),"")</f>
        <v/>
      </c>
      <c r="U79" s="83" t="str" cm="1">
        <f t="array" ref="U79">IFERROR(INDEX('Portfolio 3_2'!$O$3:$AK$101,'Portfolio 3_2'!$AP79,18),"")</f>
        <v/>
      </c>
      <c r="V79" s="83" t="str" cm="1">
        <f t="array" ref="V79">IFERROR(INDEX('Portfolio 3_2'!$O$3:$AK$101,'Portfolio 3_2'!$AP79,19),"")</f>
        <v/>
      </c>
      <c r="W79" s="1" t="str">
        <f t="shared" si="5"/>
        <v/>
      </c>
    </row>
    <row r="80" spans="1:23">
      <c r="A80" s="92" t="str">
        <f t="shared" si="4"/>
        <v/>
      </c>
      <c r="B80" s="82" t="str" cm="1">
        <f t="array" ref="B80">IFERROR(INDEX('Portfolio 3_2'!$O$3:$AK$101,'Portfolio 3_2'!$AP80,2),"")</f>
        <v/>
      </c>
      <c r="C80" s="82" t="str" cm="1">
        <f t="array" ref="C80">IFERROR(SUBSTITUTE(INDEX('Portfolio 3_2'!$O$3:$AK$101,'Portfolio 3_2'!$AP80,23),"น.ส.","นางสาว"),"")</f>
        <v/>
      </c>
      <c r="D80" s="82" t="str" cm="1">
        <f t="array" ref="D80">IFERROR(INDEX('Portfolio 3_2'!$O$3:$AK$101,'Portfolio 3_2'!$AP80,21),"")</f>
        <v/>
      </c>
      <c r="E80" s="82" t="str" cm="1">
        <f t="array" ref="E80">IFERROR(INDEX('Portfolio 3_2'!$O$3:$AK$101,'Portfolio 3_2'!$AP80,22),"")</f>
        <v/>
      </c>
      <c r="F80" s="82" t="str" cm="1">
        <f t="array" ref="F80">IFERROR(SUBSTITUTE(INDEX('Portfolio 3_2'!$O$3:$AK$101,'Portfolio 3_2'!$AP80,4),"+"," "),"")</f>
        <v/>
      </c>
      <c r="G80" s="82" t="str" cm="1">
        <f t="array" ref="G80">IFERROR(SUBSTITUTE(INDEX('Portfolio 3_2'!$O$3:$AK$101,'Portfolio 3_2'!$AP80,5),"+"," "),"")</f>
        <v/>
      </c>
      <c r="H80" s="82" t="str" cm="1">
        <f t="array" ref="H80">IFERROR(SUBSTITUTE(INDEX('Portfolio 3_2'!$O$3:$AK$101,'Portfolio 3_2'!$AP80,6),"+"," "),"")</f>
        <v/>
      </c>
      <c r="I80" s="82" t="str" cm="1">
        <f t="array" ref="I80">IFERROR(INDEX('Portfolio 3_2'!$O$3:$AK$101,'Portfolio 3_2'!$AP80,7),"")</f>
        <v/>
      </c>
      <c r="J80" s="82" t="str" cm="1">
        <f t="array" ref="J80">IFERROR(INDEX('Portfolio 3_2'!$O$3:$AK$101,'Portfolio 3_2'!$AP80,8),"")</f>
        <v/>
      </c>
      <c r="K80" s="82" t="str" cm="1">
        <f t="array" ref="K80">IFERROR(SUBSTITUTE(INDEX('Portfolio 3_2'!$O$3:$AK$101,'Portfolio 3_2'!$AP80,9),"+"," "),"")</f>
        <v/>
      </c>
      <c r="L80" s="82" t="str" cm="1">
        <f t="array" ref="L80">IFERROR(SUBSTITUTE(INDEX('Portfolio 3_2'!$O$3:$AK$101,'Portfolio 3_2'!$AP80,12),"+"," "),"")</f>
        <v/>
      </c>
      <c r="M80" s="82" t="str" cm="1">
        <f t="array" ref="M80">IFERROR(SUBSTITUTE(INDEX('Portfolio 3_2'!$O$3:$AK$101,'Portfolio 3_2'!$AP80,10),"+"," "),"")</f>
        <v/>
      </c>
      <c r="N80" s="82" t="str" cm="1">
        <f t="array" ref="N80">IFERROR(SUBSTITUTE(INDEX('Portfolio 3_2'!$O$3:$AK$101,'Portfolio 3_2'!$AP80,11),"+"," "),"")</f>
        <v/>
      </c>
      <c r="O80" s="82" t="str" cm="1">
        <f t="array" ref="O80">IFERROR(SUBSTITUTE(INDEX('Portfolio 3_2'!$O$3:$AK$101,'Portfolio 3_2'!$AP80,13),"+"," "),"")</f>
        <v/>
      </c>
      <c r="P80" s="82" t="str" cm="1">
        <f t="array" ref="P80">IFERROR(IF(ISNUMBER(FIND("กรุงเทพ",INDEX('Portfolio 3_2'!$O$3:$AK$101,'Portfolio 3_2'!$AP80,14))),"กรุงเทพมหานคร",INDEX('Portfolio 3_2'!$O$3:$AK$101,'Portfolio 3_2'!$AP80,14)),"")</f>
        <v/>
      </c>
      <c r="Q80" s="82" t="str" cm="1">
        <f t="array" ref="Q80">IFERROR(INDEX('Portfolio 3_2'!$O$3:$AK$101,'Portfolio 3_2'!$AP80,15),"")</f>
        <v/>
      </c>
      <c r="R80" s="82" t="str" cm="1">
        <f t="array" ref="R80">IFERROR(TEXT(INDEX('Portfolio 3_2'!$O$3:$AK$101,'Portfolio 3_2'!$AP80,16),"dd/mm/yyyy"),"")</f>
        <v/>
      </c>
      <c r="S80" s="82" t="str" cm="1">
        <f t="array" ref="S80">IFERROR(INDEX('Portfolio 3_2'!$O$3:$AK$101,'Portfolio 3_2'!$AP80,20),"")</f>
        <v/>
      </c>
      <c r="T80" s="82" t="str" cm="1">
        <f t="array" ref="T80">IFERROR(INDEX('Portfolio 3_2'!$O$3:$AK$101,'Portfolio 3_2'!$AP80,17),"")</f>
        <v/>
      </c>
      <c r="U80" s="83" t="str" cm="1">
        <f t="array" ref="U80">IFERROR(INDEX('Portfolio 3_2'!$O$3:$AK$101,'Portfolio 3_2'!$AP80,18),"")</f>
        <v/>
      </c>
      <c r="V80" s="83" t="str" cm="1">
        <f t="array" ref="V80">IFERROR(INDEX('Portfolio 3_2'!$O$3:$AK$101,'Portfolio 3_2'!$AP80,19),"")</f>
        <v/>
      </c>
      <c r="W80" s="1" t="str">
        <f t="shared" si="5"/>
        <v/>
      </c>
    </row>
    <row r="81" spans="1:23">
      <c r="A81" s="92" t="str">
        <f t="shared" si="4"/>
        <v/>
      </c>
      <c r="B81" s="82" t="str" cm="1">
        <f t="array" ref="B81">IFERROR(INDEX('Portfolio 3_2'!$O$3:$AK$101,'Portfolio 3_2'!$AP81,2),"")</f>
        <v/>
      </c>
      <c r="C81" s="82" t="str" cm="1">
        <f t="array" ref="C81">IFERROR(SUBSTITUTE(INDEX('Portfolio 3_2'!$O$3:$AK$101,'Portfolio 3_2'!$AP81,23),"น.ส.","นางสาว"),"")</f>
        <v/>
      </c>
      <c r="D81" s="82" t="str" cm="1">
        <f t="array" ref="D81">IFERROR(INDEX('Portfolio 3_2'!$O$3:$AK$101,'Portfolio 3_2'!$AP81,21),"")</f>
        <v/>
      </c>
      <c r="E81" s="82" t="str" cm="1">
        <f t="array" ref="E81">IFERROR(INDEX('Portfolio 3_2'!$O$3:$AK$101,'Portfolio 3_2'!$AP81,22),"")</f>
        <v/>
      </c>
      <c r="F81" s="82" t="str" cm="1">
        <f t="array" ref="F81">IFERROR(SUBSTITUTE(INDEX('Portfolio 3_2'!$O$3:$AK$101,'Portfolio 3_2'!$AP81,4),"+"," "),"")</f>
        <v/>
      </c>
      <c r="G81" s="82" t="str" cm="1">
        <f t="array" ref="G81">IFERROR(SUBSTITUTE(INDEX('Portfolio 3_2'!$O$3:$AK$101,'Portfolio 3_2'!$AP81,5),"+"," "),"")</f>
        <v/>
      </c>
      <c r="H81" s="82" t="str" cm="1">
        <f t="array" ref="H81">IFERROR(SUBSTITUTE(INDEX('Portfolio 3_2'!$O$3:$AK$101,'Portfolio 3_2'!$AP81,6),"+"," "),"")</f>
        <v/>
      </c>
      <c r="I81" s="82" t="str" cm="1">
        <f t="array" ref="I81">IFERROR(INDEX('Portfolio 3_2'!$O$3:$AK$101,'Portfolio 3_2'!$AP81,7),"")</f>
        <v/>
      </c>
      <c r="J81" s="82" t="str" cm="1">
        <f t="array" ref="J81">IFERROR(INDEX('Portfolio 3_2'!$O$3:$AK$101,'Portfolio 3_2'!$AP81,8),"")</f>
        <v/>
      </c>
      <c r="K81" s="82" t="str" cm="1">
        <f t="array" ref="K81">IFERROR(SUBSTITUTE(INDEX('Portfolio 3_2'!$O$3:$AK$101,'Portfolio 3_2'!$AP81,9),"+"," "),"")</f>
        <v/>
      </c>
      <c r="L81" s="82" t="str" cm="1">
        <f t="array" ref="L81">IFERROR(SUBSTITUTE(INDEX('Portfolio 3_2'!$O$3:$AK$101,'Portfolio 3_2'!$AP81,12),"+"," "),"")</f>
        <v/>
      </c>
      <c r="M81" s="82" t="str" cm="1">
        <f t="array" ref="M81">IFERROR(SUBSTITUTE(INDEX('Portfolio 3_2'!$O$3:$AK$101,'Portfolio 3_2'!$AP81,10),"+"," "),"")</f>
        <v/>
      </c>
      <c r="N81" s="82" t="str" cm="1">
        <f t="array" ref="N81">IFERROR(SUBSTITUTE(INDEX('Portfolio 3_2'!$O$3:$AK$101,'Portfolio 3_2'!$AP81,11),"+"," "),"")</f>
        <v/>
      </c>
      <c r="O81" s="82" t="str" cm="1">
        <f t="array" ref="O81">IFERROR(SUBSTITUTE(INDEX('Portfolio 3_2'!$O$3:$AK$101,'Portfolio 3_2'!$AP81,13),"+"," "),"")</f>
        <v/>
      </c>
      <c r="P81" s="82" t="str" cm="1">
        <f t="array" ref="P81">IFERROR(IF(ISNUMBER(FIND("กรุงเทพ",INDEX('Portfolio 3_2'!$O$3:$AK$101,'Portfolio 3_2'!$AP81,14))),"กรุงเทพมหานคร",INDEX('Portfolio 3_2'!$O$3:$AK$101,'Portfolio 3_2'!$AP81,14)),"")</f>
        <v/>
      </c>
      <c r="Q81" s="82" t="str" cm="1">
        <f t="array" ref="Q81">IFERROR(INDEX('Portfolio 3_2'!$O$3:$AK$101,'Portfolio 3_2'!$AP81,15),"")</f>
        <v/>
      </c>
      <c r="R81" s="82" t="str" cm="1">
        <f t="array" ref="R81">IFERROR(TEXT(INDEX('Portfolio 3_2'!$O$3:$AK$101,'Portfolio 3_2'!$AP81,16),"dd/mm/yyyy"),"")</f>
        <v/>
      </c>
      <c r="S81" s="82" t="str" cm="1">
        <f t="array" ref="S81">IFERROR(INDEX('Portfolio 3_2'!$O$3:$AK$101,'Portfolio 3_2'!$AP81,20),"")</f>
        <v/>
      </c>
      <c r="T81" s="82" t="str" cm="1">
        <f t="array" ref="T81">IFERROR(INDEX('Portfolio 3_2'!$O$3:$AK$101,'Portfolio 3_2'!$AP81,17),"")</f>
        <v/>
      </c>
      <c r="U81" s="83" t="str" cm="1">
        <f t="array" ref="U81">IFERROR(INDEX('Portfolio 3_2'!$O$3:$AK$101,'Portfolio 3_2'!$AP81,18),"")</f>
        <v/>
      </c>
      <c r="V81" s="83" t="str" cm="1">
        <f t="array" ref="V81">IFERROR(INDEX('Portfolio 3_2'!$O$3:$AK$101,'Portfolio 3_2'!$AP81,19),"")</f>
        <v/>
      </c>
      <c r="W81" s="1" t="str">
        <f t="shared" si="5"/>
        <v/>
      </c>
    </row>
    <row r="82" spans="1:23">
      <c r="A82" s="92" t="str">
        <f t="shared" si="4"/>
        <v/>
      </c>
      <c r="B82" s="82" t="str" cm="1">
        <f t="array" ref="B82">IFERROR(INDEX('Portfolio 3_2'!$O$3:$AK$101,'Portfolio 3_2'!$AP82,2),"")</f>
        <v/>
      </c>
      <c r="C82" s="82" t="str" cm="1">
        <f t="array" ref="C82">IFERROR(SUBSTITUTE(INDEX('Portfolio 3_2'!$O$3:$AK$101,'Portfolio 3_2'!$AP82,23),"น.ส.","นางสาว"),"")</f>
        <v/>
      </c>
      <c r="D82" s="82" t="str" cm="1">
        <f t="array" ref="D82">IFERROR(INDEX('Portfolio 3_2'!$O$3:$AK$101,'Portfolio 3_2'!$AP82,21),"")</f>
        <v/>
      </c>
      <c r="E82" s="82" t="str" cm="1">
        <f t="array" ref="E82">IFERROR(INDEX('Portfolio 3_2'!$O$3:$AK$101,'Portfolio 3_2'!$AP82,22),"")</f>
        <v/>
      </c>
      <c r="F82" s="82" t="str" cm="1">
        <f t="array" ref="F82">IFERROR(SUBSTITUTE(INDEX('Portfolio 3_2'!$O$3:$AK$101,'Portfolio 3_2'!$AP82,4),"+"," "),"")</f>
        <v/>
      </c>
      <c r="G82" s="82" t="str" cm="1">
        <f t="array" ref="G82">IFERROR(SUBSTITUTE(INDEX('Portfolio 3_2'!$O$3:$AK$101,'Portfolio 3_2'!$AP82,5),"+"," "),"")</f>
        <v/>
      </c>
      <c r="H82" s="82" t="str" cm="1">
        <f t="array" ref="H82">IFERROR(SUBSTITUTE(INDEX('Portfolio 3_2'!$O$3:$AK$101,'Portfolio 3_2'!$AP82,6),"+"," "),"")</f>
        <v/>
      </c>
      <c r="I82" s="82" t="str" cm="1">
        <f t="array" ref="I82">IFERROR(INDEX('Portfolio 3_2'!$O$3:$AK$101,'Portfolio 3_2'!$AP82,7),"")</f>
        <v/>
      </c>
      <c r="J82" s="82" t="str" cm="1">
        <f t="array" ref="J82">IFERROR(INDEX('Portfolio 3_2'!$O$3:$AK$101,'Portfolio 3_2'!$AP82,8),"")</f>
        <v/>
      </c>
      <c r="K82" s="82" t="str" cm="1">
        <f t="array" ref="K82">IFERROR(SUBSTITUTE(INDEX('Portfolio 3_2'!$O$3:$AK$101,'Portfolio 3_2'!$AP82,9),"+"," "),"")</f>
        <v/>
      </c>
      <c r="L82" s="82" t="str" cm="1">
        <f t="array" ref="L82">IFERROR(SUBSTITUTE(INDEX('Portfolio 3_2'!$O$3:$AK$101,'Portfolio 3_2'!$AP82,12),"+"," "),"")</f>
        <v/>
      </c>
      <c r="M82" s="82" t="str" cm="1">
        <f t="array" ref="M82">IFERROR(SUBSTITUTE(INDEX('Portfolio 3_2'!$O$3:$AK$101,'Portfolio 3_2'!$AP82,10),"+"," "),"")</f>
        <v/>
      </c>
      <c r="N82" s="82" t="str" cm="1">
        <f t="array" ref="N82">IFERROR(SUBSTITUTE(INDEX('Portfolio 3_2'!$O$3:$AK$101,'Portfolio 3_2'!$AP82,11),"+"," "),"")</f>
        <v/>
      </c>
      <c r="O82" s="82" t="str" cm="1">
        <f t="array" ref="O82">IFERROR(SUBSTITUTE(INDEX('Portfolio 3_2'!$O$3:$AK$101,'Portfolio 3_2'!$AP82,13),"+"," "),"")</f>
        <v/>
      </c>
      <c r="P82" s="82" t="str" cm="1">
        <f t="array" ref="P82">IFERROR(IF(ISNUMBER(FIND("กรุงเทพ",INDEX('Portfolio 3_2'!$O$3:$AK$101,'Portfolio 3_2'!$AP82,14))),"กรุงเทพมหานคร",INDEX('Portfolio 3_2'!$O$3:$AK$101,'Portfolio 3_2'!$AP82,14)),"")</f>
        <v/>
      </c>
      <c r="Q82" s="82" t="str" cm="1">
        <f t="array" ref="Q82">IFERROR(INDEX('Portfolio 3_2'!$O$3:$AK$101,'Portfolio 3_2'!$AP82,15),"")</f>
        <v/>
      </c>
      <c r="R82" s="82" t="str" cm="1">
        <f t="array" ref="R82">IFERROR(TEXT(INDEX('Portfolio 3_2'!$O$3:$AK$101,'Portfolio 3_2'!$AP82,16),"dd/mm/yyyy"),"")</f>
        <v/>
      </c>
      <c r="S82" s="82" t="str" cm="1">
        <f t="array" ref="S82">IFERROR(INDEX('Portfolio 3_2'!$O$3:$AK$101,'Portfolio 3_2'!$AP82,20),"")</f>
        <v/>
      </c>
      <c r="T82" s="82" t="str" cm="1">
        <f t="array" ref="T82">IFERROR(INDEX('Portfolio 3_2'!$O$3:$AK$101,'Portfolio 3_2'!$AP82,17),"")</f>
        <v/>
      </c>
      <c r="U82" s="83" t="str" cm="1">
        <f t="array" ref="U82">IFERROR(INDEX('Portfolio 3_2'!$O$3:$AK$101,'Portfolio 3_2'!$AP82,18),"")</f>
        <v/>
      </c>
      <c r="V82" s="83" t="str" cm="1">
        <f t="array" ref="V82">IFERROR(INDEX('Portfolio 3_2'!$O$3:$AK$101,'Portfolio 3_2'!$AP82,19),"")</f>
        <v/>
      </c>
      <c r="W82" s="1" t="str">
        <f t="shared" si="5"/>
        <v/>
      </c>
    </row>
    <row r="83" spans="1:23">
      <c r="A83" s="92" t="str">
        <f t="shared" si="4"/>
        <v/>
      </c>
      <c r="B83" s="82" t="str" cm="1">
        <f t="array" ref="B83">IFERROR(INDEX('Portfolio 3_2'!$O$3:$AK$101,'Portfolio 3_2'!$AP83,2),"")</f>
        <v/>
      </c>
      <c r="C83" s="82" t="str" cm="1">
        <f t="array" ref="C83">IFERROR(SUBSTITUTE(INDEX('Portfolio 3_2'!$O$3:$AK$101,'Portfolio 3_2'!$AP83,23),"น.ส.","นางสาว"),"")</f>
        <v/>
      </c>
      <c r="D83" s="82" t="str" cm="1">
        <f t="array" ref="D83">IFERROR(INDEX('Portfolio 3_2'!$O$3:$AK$101,'Portfolio 3_2'!$AP83,21),"")</f>
        <v/>
      </c>
      <c r="E83" s="82" t="str" cm="1">
        <f t="array" ref="E83">IFERROR(INDEX('Portfolio 3_2'!$O$3:$AK$101,'Portfolio 3_2'!$AP83,22),"")</f>
        <v/>
      </c>
      <c r="F83" s="82" t="str" cm="1">
        <f t="array" ref="F83">IFERROR(SUBSTITUTE(INDEX('Portfolio 3_2'!$O$3:$AK$101,'Portfolio 3_2'!$AP83,4),"+"," "),"")</f>
        <v/>
      </c>
      <c r="G83" s="82" t="str" cm="1">
        <f t="array" ref="G83">IFERROR(SUBSTITUTE(INDEX('Portfolio 3_2'!$O$3:$AK$101,'Portfolio 3_2'!$AP83,5),"+"," "),"")</f>
        <v/>
      </c>
      <c r="H83" s="82" t="str" cm="1">
        <f t="array" ref="H83">IFERROR(SUBSTITUTE(INDEX('Portfolio 3_2'!$O$3:$AK$101,'Portfolio 3_2'!$AP83,6),"+"," "),"")</f>
        <v/>
      </c>
      <c r="I83" s="82" t="str" cm="1">
        <f t="array" ref="I83">IFERROR(INDEX('Portfolio 3_2'!$O$3:$AK$101,'Portfolio 3_2'!$AP83,7),"")</f>
        <v/>
      </c>
      <c r="J83" s="82" t="str" cm="1">
        <f t="array" ref="J83">IFERROR(INDEX('Portfolio 3_2'!$O$3:$AK$101,'Portfolio 3_2'!$AP83,8),"")</f>
        <v/>
      </c>
      <c r="K83" s="82" t="str" cm="1">
        <f t="array" ref="K83">IFERROR(SUBSTITUTE(INDEX('Portfolio 3_2'!$O$3:$AK$101,'Portfolio 3_2'!$AP83,9),"+"," "),"")</f>
        <v/>
      </c>
      <c r="L83" s="82" t="str" cm="1">
        <f t="array" ref="L83">IFERROR(SUBSTITUTE(INDEX('Portfolio 3_2'!$O$3:$AK$101,'Portfolio 3_2'!$AP83,12),"+"," "),"")</f>
        <v/>
      </c>
      <c r="M83" s="82" t="str" cm="1">
        <f t="array" ref="M83">IFERROR(SUBSTITUTE(INDEX('Portfolio 3_2'!$O$3:$AK$101,'Portfolio 3_2'!$AP83,10),"+"," "),"")</f>
        <v/>
      </c>
      <c r="N83" s="82" t="str" cm="1">
        <f t="array" ref="N83">IFERROR(SUBSTITUTE(INDEX('Portfolio 3_2'!$O$3:$AK$101,'Portfolio 3_2'!$AP83,11),"+"," "),"")</f>
        <v/>
      </c>
      <c r="O83" s="82" t="str" cm="1">
        <f t="array" ref="O83">IFERROR(SUBSTITUTE(INDEX('Portfolio 3_2'!$O$3:$AK$101,'Portfolio 3_2'!$AP83,13),"+"," "),"")</f>
        <v/>
      </c>
      <c r="P83" s="82" t="str" cm="1">
        <f t="array" ref="P83">IFERROR(IF(ISNUMBER(FIND("กรุงเทพ",INDEX('Portfolio 3_2'!$O$3:$AK$101,'Portfolio 3_2'!$AP83,14))),"กรุงเทพมหานคร",INDEX('Portfolio 3_2'!$O$3:$AK$101,'Portfolio 3_2'!$AP83,14)),"")</f>
        <v/>
      </c>
      <c r="Q83" s="82" t="str" cm="1">
        <f t="array" ref="Q83">IFERROR(INDEX('Portfolio 3_2'!$O$3:$AK$101,'Portfolio 3_2'!$AP83,15),"")</f>
        <v/>
      </c>
      <c r="R83" s="82" t="str" cm="1">
        <f t="array" ref="R83">IFERROR(TEXT(INDEX('Portfolio 3_2'!$O$3:$AK$101,'Portfolio 3_2'!$AP83,16),"dd/mm/yyyy"),"")</f>
        <v/>
      </c>
      <c r="S83" s="82" t="str" cm="1">
        <f t="array" ref="S83">IFERROR(INDEX('Portfolio 3_2'!$O$3:$AK$101,'Portfolio 3_2'!$AP83,20),"")</f>
        <v/>
      </c>
      <c r="T83" s="82" t="str" cm="1">
        <f t="array" ref="T83">IFERROR(INDEX('Portfolio 3_2'!$O$3:$AK$101,'Portfolio 3_2'!$AP83,17),"")</f>
        <v/>
      </c>
      <c r="U83" s="83" t="str" cm="1">
        <f t="array" ref="U83">IFERROR(INDEX('Portfolio 3_2'!$O$3:$AK$101,'Portfolio 3_2'!$AP83,18),"")</f>
        <v/>
      </c>
      <c r="V83" s="83" t="str" cm="1">
        <f t="array" ref="V83">IFERROR(INDEX('Portfolio 3_2'!$O$3:$AK$101,'Portfolio 3_2'!$AP83,19),"")</f>
        <v/>
      </c>
      <c r="W83" s="1" t="str">
        <f t="shared" si="5"/>
        <v/>
      </c>
    </row>
    <row r="84" spans="1:23">
      <c r="A84" s="92" t="str">
        <f t="shared" si="4"/>
        <v/>
      </c>
      <c r="B84" s="82" t="str" cm="1">
        <f t="array" ref="B84">IFERROR(INDEX('Portfolio 3_2'!$O$3:$AK$101,'Portfolio 3_2'!$AP84,2),"")</f>
        <v/>
      </c>
      <c r="C84" s="82" t="str" cm="1">
        <f t="array" ref="C84">IFERROR(SUBSTITUTE(INDEX('Portfolio 3_2'!$O$3:$AK$101,'Portfolio 3_2'!$AP84,23),"น.ส.","นางสาว"),"")</f>
        <v/>
      </c>
      <c r="D84" s="82" t="str" cm="1">
        <f t="array" ref="D84">IFERROR(INDEX('Portfolio 3_2'!$O$3:$AK$101,'Portfolio 3_2'!$AP84,21),"")</f>
        <v/>
      </c>
      <c r="E84" s="82" t="str" cm="1">
        <f t="array" ref="E84">IFERROR(INDEX('Portfolio 3_2'!$O$3:$AK$101,'Portfolio 3_2'!$AP84,22),"")</f>
        <v/>
      </c>
      <c r="F84" s="82" t="str" cm="1">
        <f t="array" ref="F84">IFERROR(SUBSTITUTE(INDEX('Portfolio 3_2'!$O$3:$AK$101,'Portfolio 3_2'!$AP84,4),"+"," "),"")</f>
        <v/>
      </c>
      <c r="G84" s="82" t="str" cm="1">
        <f t="array" ref="G84">IFERROR(SUBSTITUTE(INDEX('Portfolio 3_2'!$O$3:$AK$101,'Portfolio 3_2'!$AP84,5),"+"," "),"")</f>
        <v/>
      </c>
      <c r="H84" s="82" t="str" cm="1">
        <f t="array" ref="H84">IFERROR(SUBSTITUTE(INDEX('Portfolio 3_2'!$O$3:$AK$101,'Portfolio 3_2'!$AP84,6),"+"," "),"")</f>
        <v/>
      </c>
      <c r="I84" s="82" t="str" cm="1">
        <f t="array" ref="I84">IFERROR(INDEX('Portfolio 3_2'!$O$3:$AK$101,'Portfolio 3_2'!$AP84,7),"")</f>
        <v/>
      </c>
      <c r="J84" s="82" t="str" cm="1">
        <f t="array" ref="J84">IFERROR(INDEX('Portfolio 3_2'!$O$3:$AK$101,'Portfolio 3_2'!$AP84,8),"")</f>
        <v/>
      </c>
      <c r="K84" s="82" t="str" cm="1">
        <f t="array" ref="K84">IFERROR(SUBSTITUTE(INDEX('Portfolio 3_2'!$O$3:$AK$101,'Portfolio 3_2'!$AP84,9),"+"," "),"")</f>
        <v/>
      </c>
      <c r="L84" s="82" t="str" cm="1">
        <f t="array" ref="L84">IFERROR(SUBSTITUTE(INDEX('Portfolio 3_2'!$O$3:$AK$101,'Portfolio 3_2'!$AP84,12),"+"," "),"")</f>
        <v/>
      </c>
      <c r="M84" s="82" t="str" cm="1">
        <f t="array" ref="M84">IFERROR(SUBSTITUTE(INDEX('Portfolio 3_2'!$O$3:$AK$101,'Portfolio 3_2'!$AP84,10),"+"," "),"")</f>
        <v/>
      </c>
      <c r="N84" s="82" t="str" cm="1">
        <f t="array" ref="N84">IFERROR(SUBSTITUTE(INDEX('Portfolio 3_2'!$O$3:$AK$101,'Portfolio 3_2'!$AP84,11),"+"," "),"")</f>
        <v/>
      </c>
      <c r="O84" s="82" t="str" cm="1">
        <f t="array" ref="O84">IFERROR(SUBSTITUTE(INDEX('Portfolio 3_2'!$O$3:$AK$101,'Portfolio 3_2'!$AP84,13),"+"," "),"")</f>
        <v/>
      </c>
      <c r="P84" s="82" t="str" cm="1">
        <f t="array" ref="P84">IFERROR(IF(ISNUMBER(FIND("กรุงเทพ",INDEX('Portfolio 3_2'!$O$3:$AK$101,'Portfolio 3_2'!$AP84,14))),"กรุงเทพมหานคร",INDEX('Portfolio 3_2'!$O$3:$AK$101,'Portfolio 3_2'!$AP84,14)),"")</f>
        <v/>
      </c>
      <c r="Q84" s="82" t="str" cm="1">
        <f t="array" ref="Q84">IFERROR(INDEX('Portfolio 3_2'!$O$3:$AK$101,'Portfolio 3_2'!$AP84,15),"")</f>
        <v/>
      </c>
      <c r="R84" s="82" t="str" cm="1">
        <f t="array" ref="R84">IFERROR(TEXT(INDEX('Portfolio 3_2'!$O$3:$AK$101,'Portfolio 3_2'!$AP84,16),"dd/mm/yyyy"),"")</f>
        <v/>
      </c>
      <c r="S84" s="82" t="str" cm="1">
        <f t="array" ref="S84">IFERROR(INDEX('Portfolio 3_2'!$O$3:$AK$101,'Portfolio 3_2'!$AP84,20),"")</f>
        <v/>
      </c>
      <c r="T84" s="82" t="str" cm="1">
        <f t="array" ref="T84">IFERROR(INDEX('Portfolio 3_2'!$O$3:$AK$101,'Portfolio 3_2'!$AP84,17),"")</f>
        <v/>
      </c>
      <c r="U84" s="83" t="str" cm="1">
        <f t="array" ref="U84">IFERROR(INDEX('Portfolio 3_2'!$O$3:$AK$101,'Portfolio 3_2'!$AP84,18),"")</f>
        <v/>
      </c>
      <c r="V84" s="83" t="str" cm="1">
        <f t="array" ref="V84">IFERROR(INDEX('Portfolio 3_2'!$O$3:$AK$101,'Portfolio 3_2'!$AP84,19),"")</f>
        <v/>
      </c>
      <c r="W84" s="1" t="str">
        <f t="shared" si="5"/>
        <v/>
      </c>
    </row>
    <row r="85" spans="1:23">
      <c r="A85" s="92" t="str">
        <f t="shared" si="4"/>
        <v/>
      </c>
      <c r="B85" s="82" t="str" cm="1">
        <f t="array" ref="B85">IFERROR(INDEX('Portfolio 3_2'!$O$3:$AK$101,'Portfolio 3_2'!$AP85,2),"")</f>
        <v/>
      </c>
      <c r="C85" s="82" t="str" cm="1">
        <f t="array" ref="C85">IFERROR(SUBSTITUTE(INDEX('Portfolio 3_2'!$O$3:$AK$101,'Portfolio 3_2'!$AP85,23),"น.ส.","นางสาว"),"")</f>
        <v/>
      </c>
      <c r="D85" s="82" t="str" cm="1">
        <f t="array" ref="D85">IFERROR(INDEX('Portfolio 3_2'!$O$3:$AK$101,'Portfolio 3_2'!$AP85,21),"")</f>
        <v/>
      </c>
      <c r="E85" s="82" t="str" cm="1">
        <f t="array" ref="E85">IFERROR(INDEX('Portfolio 3_2'!$O$3:$AK$101,'Portfolio 3_2'!$AP85,22),"")</f>
        <v/>
      </c>
      <c r="F85" s="82" t="str" cm="1">
        <f t="array" ref="F85">IFERROR(SUBSTITUTE(INDEX('Portfolio 3_2'!$O$3:$AK$101,'Portfolio 3_2'!$AP85,4),"+"," "),"")</f>
        <v/>
      </c>
      <c r="G85" s="82" t="str" cm="1">
        <f t="array" ref="G85">IFERROR(SUBSTITUTE(INDEX('Portfolio 3_2'!$O$3:$AK$101,'Portfolio 3_2'!$AP85,5),"+"," "),"")</f>
        <v/>
      </c>
      <c r="H85" s="82" t="str" cm="1">
        <f t="array" ref="H85">IFERROR(SUBSTITUTE(INDEX('Portfolio 3_2'!$O$3:$AK$101,'Portfolio 3_2'!$AP85,6),"+"," "),"")</f>
        <v/>
      </c>
      <c r="I85" s="82" t="str" cm="1">
        <f t="array" ref="I85">IFERROR(INDEX('Portfolio 3_2'!$O$3:$AK$101,'Portfolio 3_2'!$AP85,7),"")</f>
        <v/>
      </c>
      <c r="J85" s="82" t="str" cm="1">
        <f t="array" ref="J85">IFERROR(INDEX('Portfolio 3_2'!$O$3:$AK$101,'Portfolio 3_2'!$AP85,8),"")</f>
        <v/>
      </c>
      <c r="K85" s="82" t="str" cm="1">
        <f t="array" ref="K85">IFERROR(SUBSTITUTE(INDEX('Portfolio 3_2'!$O$3:$AK$101,'Portfolio 3_2'!$AP85,9),"+"," "),"")</f>
        <v/>
      </c>
      <c r="L85" s="82" t="str" cm="1">
        <f t="array" ref="L85">IFERROR(SUBSTITUTE(INDEX('Portfolio 3_2'!$O$3:$AK$101,'Portfolio 3_2'!$AP85,12),"+"," "),"")</f>
        <v/>
      </c>
      <c r="M85" s="82" t="str" cm="1">
        <f t="array" ref="M85">IFERROR(SUBSTITUTE(INDEX('Portfolio 3_2'!$O$3:$AK$101,'Portfolio 3_2'!$AP85,10),"+"," "),"")</f>
        <v/>
      </c>
      <c r="N85" s="82" t="str" cm="1">
        <f t="array" ref="N85">IFERROR(SUBSTITUTE(INDEX('Portfolio 3_2'!$O$3:$AK$101,'Portfolio 3_2'!$AP85,11),"+"," "),"")</f>
        <v/>
      </c>
      <c r="O85" s="82" t="str" cm="1">
        <f t="array" ref="O85">IFERROR(SUBSTITUTE(INDEX('Portfolio 3_2'!$O$3:$AK$101,'Portfolio 3_2'!$AP85,13),"+"," "),"")</f>
        <v/>
      </c>
      <c r="P85" s="82" t="str" cm="1">
        <f t="array" ref="P85">IFERROR(IF(ISNUMBER(FIND("กรุงเทพ",INDEX('Portfolio 3_2'!$O$3:$AK$101,'Portfolio 3_2'!$AP85,14))),"กรุงเทพมหานคร",INDEX('Portfolio 3_2'!$O$3:$AK$101,'Portfolio 3_2'!$AP85,14)),"")</f>
        <v/>
      </c>
      <c r="Q85" s="82" t="str" cm="1">
        <f t="array" ref="Q85">IFERROR(INDEX('Portfolio 3_2'!$O$3:$AK$101,'Portfolio 3_2'!$AP85,15),"")</f>
        <v/>
      </c>
      <c r="R85" s="82" t="str" cm="1">
        <f t="array" ref="R85">IFERROR(TEXT(INDEX('Portfolio 3_2'!$O$3:$AK$101,'Portfolio 3_2'!$AP85,16),"dd/mm/yyyy"),"")</f>
        <v/>
      </c>
      <c r="S85" s="82" t="str" cm="1">
        <f t="array" ref="S85">IFERROR(INDEX('Portfolio 3_2'!$O$3:$AK$101,'Portfolio 3_2'!$AP85,20),"")</f>
        <v/>
      </c>
      <c r="T85" s="82" t="str" cm="1">
        <f t="array" ref="T85">IFERROR(INDEX('Portfolio 3_2'!$O$3:$AK$101,'Portfolio 3_2'!$AP85,17),"")</f>
        <v/>
      </c>
      <c r="U85" s="83" t="str" cm="1">
        <f t="array" ref="U85">IFERROR(INDEX('Portfolio 3_2'!$O$3:$AK$101,'Portfolio 3_2'!$AP85,18),"")</f>
        <v/>
      </c>
      <c r="V85" s="83" t="str" cm="1">
        <f t="array" ref="V85">IFERROR(INDEX('Portfolio 3_2'!$O$3:$AK$101,'Portfolio 3_2'!$AP85,19),"")</f>
        <v/>
      </c>
      <c r="W85" s="1" t="str">
        <f t="shared" si="5"/>
        <v/>
      </c>
    </row>
    <row r="86" spans="1:23">
      <c r="A86" s="92" t="str">
        <f t="shared" si="4"/>
        <v/>
      </c>
      <c r="B86" s="82" t="str" cm="1">
        <f t="array" ref="B86">IFERROR(INDEX('Portfolio 3_2'!$O$3:$AK$101,'Portfolio 3_2'!$AP86,2),"")</f>
        <v/>
      </c>
      <c r="C86" s="82" t="str" cm="1">
        <f t="array" ref="C86">IFERROR(SUBSTITUTE(INDEX('Portfolio 3_2'!$O$3:$AK$101,'Portfolio 3_2'!$AP86,23),"น.ส.","นางสาว"),"")</f>
        <v/>
      </c>
      <c r="D86" s="82" t="str" cm="1">
        <f t="array" ref="D86">IFERROR(INDEX('Portfolio 3_2'!$O$3:$AK$101,'Portfolio 3_2'!$AP86,21),"")</f>
        <v/>
      </c>
      <c r="E86" s="82" t="str" cm="1">
        <f t="array" ref="E86">IFERROR(INDEX('Portfolio 3_2'!$O$3:$AK$101,'Portfolio 3_2'!$AP86,22),"")</f>
        <v/>
      </c>
      <c r="F86" s="82" t="str" cm="1">
        <f t="array" ref="F86">IFERROR(SUBSTITUTE(INDEX('Portfolio 3_2'!$O$3:$AK$101,'Portfolio 3_2'!$AP86,4),"+"," "),"")</f>
        <v/>
      </c>
      <c r="G86" s="82" t="str" cm="1">
        <f t="array" ref="G86">IFERROR(SUBSTITUTE(INDEX('Portfolio 3_2'!$O$3:$AK$101,'Portfolio 3_2'!$AP86,5),"+"," "),"")</f>
        <v/>
      </c>
      <c r="H86" s="82" t="str" cm="1">
        <f t="array" ref="H86">IFERROR(SUBSTITUTE(INDEX('Portfolio 3_2'!$O$3:$AK$101,'Portfolio 3_2'!$AP86,6),"+"," "),"")</f>
        <v/>
      </c>
      <c r="I86" s="82" t="str" cm="1">
        <f t="array" ref="I86">IFERROR(INDEX('Portfolio 3_2'!$O$3:$AK$101,'Portfolio 3_2'!$AP86,7),"")</f>
        <v/>
      </c>
      <c r="J86" s="82" t="str" cm="1">
        <f t="array" ref="J86">IFERROR(INDEX('Portfolio 3_2'!$O$3:$AK$101,'Portfolio 3_2'!$AP86,8),"")</f>
        <v/>
      </c>
      <c r="K86" s="82" t="str" cm="1">
        <f t="array" ref="K86">IFERROR(SUBSTITUTE(INDEX('Portfolio 3_2'!$O$3:$AK$101,'Portfolio 3_2'!$AP86,9),"+"," "),"")</f>
        <v/>
      </c>
      <c r="L86" s="82" t="str" cm="1">
        <f t="array" ref="L86">IFERROR(SUBSTITUTE(INDEX('Portfolio 3_2'!$O$3:$AK$101,'Portfolio 3_2'!$AP86,12),"+"," "),"")</f>
        <v/>
      </c>
      <c r="M86" s="82" t="str" cm="1">
        <f t="array" ref="M86">IFERROR(SUBSTITUTE(INDEX('Portfolio 3_2'!$O$3:$AK$101,'Portfolio 3_2'!$AP86,10),"+"," "),"")</f>
        <v/>
      </c>
      <c r="N86" s="82" t="str" cm="1">
        <f t="array" ref="N86">IFERROR(SUBSTITUTE(INDEX('Portfolio 3_2'!$O$3:$AK$101,'Portfolio 3_2'!$AP86,11),"+"," "),"")</f>
        <v/>
      </c>
      <c r="O86" s="82" t="str" cm="1">
        <f t="array" ref="O86">IFERROR(SUBSTITUTE(INDEX('Portfolio 3_2'!$O$3:$AK$101,'Portfolio 3_2'!$AP86,13),"+"," "),"")</f>
        <v/>
      </c>
      <c r="P86" s="82" t="str" cm="1">
        <f t="array" ref="P86">IFERROR(IF(ISNUMBER(FIND("กรุงเทพ",INDEX('Portfolio 3_2'!$O$3:$AK$101,'Portfolio 3_2'!$AP86,14))),"กรุงเทพมหานคร",INDEX('Portfolio 3_2'!$O$3:$AK$101,'Portfolio 3_2'!$AP86,14)),"")</f>
        <v/>
      </c>
      <c r="Q86" s="82" t="str" cm="1">
        <f t="array" ref="Q86">IFERROR(INDEX('Portfolio 3_2'!$O$3:$AK$101,'Portfolio 3_2'!$AP86,15),"")</f>
        <v/>
      </c>
      <c r="R86" s="82" t="str" cm="1">
        <f t="array" ref="R86">IFERROR(TEXT(INDEX('Portfolio 3_2'!$O$3:$AK$101,'Portfolio 3_2'!$AP86,16),"dd/mm/yyyy"),"")</f>
        <v/>
      </c>
      <c r="S86" s="82" t="str" cm="1">
        <f t="array" ref="S86">IFERROR(INDEX('Portfolio 3_2'!$O$3:$AK$101,'Portfolio 3_2'!$AP86,20),"")</f>
        <v/>
      </c>
      <c r="T86" s="82" t="str" cm="1">
        <f t="array" ref="T86">IFERROR(INDEX('Portfolio 3_2'!$O$3:$AK$101,'Portfolio 3_2'!$AP86,17),"")</f>
        <v/>
      </c>
      <c r="U86" s="83" t="str" cm="1">
        <f t="array" ref="U86">IFERROR(INDEX('Portfolio 3_2'!$O$3:$AK$101,'Portfolio 3_2'!$AP86,18),"")</f>
        <v/>
      </c>
      <c r="V86" s="83" t="str" cm="1">
        <f t="array" ref="V86">IFERROR(INDEX('Portfolio 3_2'!$O$3:$AK$101,'Portfolio 3_2'!$AP86,19),"")</f>
        <v/>
      </c>
      <c r="W86" s="1" t="str">
        <f t="shared" si="5"/>
        <v/>
      </c>
    </row>
    <row r="87" spans="1:23">
      <c r="A87" s="92" t="str">
        <f t="shared" si="4"/>
        <v/>
      </c>
      <c r="B87" s="82" t="str" cm="1">
        <f t="array" ref="B87">IFERROR(INDEX('Portfolio 3_2'!$O$3:$AK$101,'Portfolio 3_2'!$AP87,2),"")</f>
        <v/>
      </c>
      <c r="C87" s="82" t="str" cm="1">
        <f t="array" ref="C87">IFERROR(SUBSTITUTE(INDEX('Portfolio 3_2'!$O$3:$AK$101,'Portfolio 3_2'!$AP87,23),"น.ส.","นางสาว"),"")</f>
        <v/>
      </c>
      <c r="D87" s="82" t="str" cm="1">
        <f t="array" ref="D87">IFERROR(INDEX('Portfolio 3_2'!$O$3:$AK$101,'Portfolio 3_2'!$AP87,21),"")</f>
        <v/>
      </c>
      <c r="E87" s="82" t="str" cm="1">
        <f t="array" ref="E87">IFERROR(INDEX('Portfolio 3_2'!$O$3:$AK$101,'Portfolio 3_2'!$AP87,22),"")</f>
        <v/>
      </c>
      <c r="F87" s="82" t="str" cm="1">
        <f t="array" ref="F87">IFERROR(SUBSTITUTE(INDEX('Portfolio 3_2'!$O$3:$AK$101,'Portfolio 3_2'!$AP87,4),"+"," "),"")</f>
        <v/>
      </c>
      <c r="G87" s="82" t="str" cm="1">
        <f t="array" ref="G87">IFERROR(SUBSTITUTE(INDEX('Portfolio 3_2'!$O$3:$AK$101,'Portfolio 3_2'!$AP87,5),"+"," "),"")</f>
        <v/>
      </c>
      <c r="H87" s="82" t="str" cm="1">
        <f t="array" ref="H87">IFERROR(SUBSTITUTE(INDEX('Portfolio 3_2'!$O$3:$AK$101,'Portfolio 3_2'!$AP87,6),"+"," "),"")</f>
        <v/>
      </c>
      <c r="I87" s="82" t="str" cm="1">
        <f t="array" ref="I87">IFERROR(INDEX('Portfolio 3_2'!$O$3:$AK$101,'Portfolio 3_2'!$AP87,7),"")</f>
        <v/>
      </c>
      <c r="J87" s="82" t="str" cm="1">
        <f t="array" ref="J87">IFERROR(INDEX('Portfolio 3_2'!$O$3:$AK$101,'Portfolio 3_2'!$AP87,8),"")</f>
        <v/>
      </c>
      <c r="K87" s="82" t="str" cm="1">
        <f t="array" ref="K87">IFERROR(SUBSTITUTE(INDEX('Portfolio 3_2'!$O$3:$AK$101,'Portfolio 3_2'!$AP87,9),"+"," "),"")</f>
        <v/>
      </c>
      <c r="L87" s="82" t="str" cm="1">
        <f t="array" ref="L87">IFERROR(SUBSTITUTE(INDEX('Portfolio 3_2'!$O$3:$AK$101,'Portfolio 3_2'!$AP87,12),"+"," "),"")</f>
        <v/>
      </c>
      <c r="M87" s="82" t="str" cm="1">
        <f t="array" ref="M87">IFERROR(SUBSTITUTE(INDEX('Portfolio 3_2'!$O$3:$AK$101,'Portfolio 3_2'!$AP87,10),"+"," "),"")</f>
        <v/>
      </c>
      <c r="N87" s="82" t="str" cm="1">
        <f t="array" ref="N87">IFERROR(SUBSTITUTE(INDEX('Portfolio 3_2'!$O$3:$AK$101,'Portfolio 3_2'!$AP87,11),"+"," "),"")</f>
        <v/>
      </c>
      <c r="O87" s="82" t="str" cm="1">
        <f t="array" ref="O87">IFERROR(SUBSTITUTE(INDEX('Portfolio 3_2'!$O$3:$AK$101,'Portfolio 3_2'!$AP87,13),"+"," "),"")</f>
        <v/>
      </c>
      <c r="P87" s="82" t="str" cm="1">
        <f t="array" ref="P87">IFERROR(IF(ISNUMBER(FIND("กรุงเทพ",INDEX('Portfolio 3_2'!$O$3:$AK$101,'Portfolio 3_2'!$AP87,14))),"กรุงเทพมหานคร",INDEX('Portfolio 3_2'!$O$3:$AK$101,'Portfolio 3_2'!$AP87,14)),"")</f>
        <v/>
      </c>
      <c r="Q87" s="82" t="str" cm="1">
        <f t="array" ref="Q87">IFERROR(INDEX('Portfolio 3_2'!$O$3:$AK$101,'Portfolio 3_2'!$AP87,15),"")</f>
        <v/>
      </c>
      <c r="R87" s="82" t="str" cm="1">
        <f t="array" ref="R87">IFERROR(TEXT(INDEX('Portfolio 3_2'!$O$3:$AK$101,'Portfolio 3_2'!$AP87,16),"dd/mm/yyyy"),"")</f>
        <v/>
      </c>
      <c r="S87" s="82" t="str" cm="1">
        <f t="array" ref="S87">IFERROR(INDEX('Portfolio 3_2'!$O$3:$AK$101,'Portfolio 3_2'!$AP87,20),"")</f>
        <v/>
      </c>
      <c r="T87" s="82" t="str" cm="1">
        <f t="array" ref="T87">IFERROR(INDEX('Portfolio 3_2'!$O$3:$AK$101,'Portfolio 3_2'!$AP87,17),"")</f>
        <v/>
      </c>
      <c r="U87" s="83" t="str" cm="1">
        <f t="array" ref="U87">IFERROR(INDEX('Portfolio 3_2'!$O$3:$AK$101,'Portfolio 3_2'!$AP87,18),"")</f>
        <v/>
      </c>
      <c r="V87" s="83" t="str" cm="1">
        <f t="array" ref="V87">IFERROR(INDEX('Portfolio 3_2'!$O$3:$AK$101,'Portfolio 3_2'!$AP87,19),"")</f>
        <v/>
      </c>
      <c r="W87" s="1" t="str">
        <f t="shared" si="5"/>
        <v/>
      </c>
    </row>
    <row r="88" spans="1:23">
      <c r="A88" s="92" t="str">
        <f t="shared" si="4"/>
        <v/>
      </c>
      <c r="B88" s="82" t="str" cm="1">
        <f t="array" ref="B88">IFERROR(INDEX('Portfolio 3_2'!$O$3:$AK$101,'Portfolio 3_2'!$AP88,2),"")</f>
        <v/>
      </c>
      <c r="C88" s="82" t="str" cm="1">
        <f t="array" ref="C88">IFERROR(SUBSTITUTE(INDEX('Portfolio 3_2'!$O$3:$AK$101,'Portfolio 3_2'!$AP88,23),"น.ส.","นางสาว"),"")</f>
        <v/>
      </c>
      <c r="D88" s="82" t="str" cm="1">
        <f t="array" ref="D88">IFERROR(INDEX('Portfolio 3_2'!$O$3:$AK$101,'Portfolio 3_2'!$AP88,21),"")</f>
        <v/>
      </c>
      <c r="E88" s="82" t="str" cm="1">
        <f t="array" ref="E88">IFERROR(INDEX('Portfolio 3_2'!$O$3:$AK$101,'Portfolio 3_2'!$AP88,22),"")</f>
        <v/>
      </c>
      <c r="F88" s="82" t="str" cm="1">
        <f t="array" ref="F88">IFERROR(SUBSTITUTE(INDEX('Portfolio 3_2'!$O$3:$AK$101,'Portfolio 3_2'!$AP88,4),"+"," "),"")</f>
        <v/>
      </c>
      <c r="G88" s="82" t="str" cm="1">
        <f t="array" ref="G88">IFERROR(SUBSTITUTE(INDEX('Portfolio 3_2'!$O$3:$AK$101,'Portfolio 3_2'!$AP88,5),"+"," "),"")</f>
        <v/>
      </c>
      <c r="H88" s="82" t="str" cm="1">
        <f t="array" ref="H88">IFERROR(SUBSTITUTE(INDEX('Portfolio 3_2'!$O$3:$AK$101,'Portfolio 3_2'!$AP88,6),"+"," "),"")</f>
        <v/>
      </c>
      <c r="I88" s="82" t="str" cm="1">
        <f t="array" ref="I88">IFERROR(INDEX('Portfolio 3_2'!$O$3:$AK$101,'Portfolio 3_2'!$AP88,7),"")</f>
        <v/>
      </c>
      <c r="J88" s="82" t="str" cm="1">
        <f t="array" ref="J88">IFERROR(INDEX('Portfolio 3_2'!$O$3:$AK$101,'Portfolio 3_2'!$AP88,8),"")</f>
        <v/>
      </c>
      <c r="K88" s="82" t="str" cm="1">
        <f t="array" ref="K88">IFERROR(SUBSTITUTE(INDEX('Portfolio 3_2'!$O$3:$AK$101,'Portfolio 3_2'!$AP88,9),"+"," "),"")</f>
        <v/>
      </c>
      <c r="L88" s="82" t="str" cm="1">
        <f t="array" ref="L88">IFERROR(SUBSTITUTE(INDEX('Portfolio 3_2'!$O$3:$AK$101,'Portfolio 3_2'!$AP88,12),"+"," "),"")</f>
        <v/>
      </c>
      <c r="M88" s="82" t="str" cm="1">
        <f t="array" ref="M88">IFERROR(SUBSTITUTE(INDEX('Portfolio 3_2'!$O$3:$AK$101,'Portfolio 3_2'!$AP88,10),"+"," "),"")</f>
        <v/>
      </c>
      <c r="N88" s="82" t="str" cm="1">
        <f t="array" ref="N88">IFERROR(SUBSTITUTE(INDEX('Portfolio 3_2'!$O$3:$AK$101,'Portfolio 3_2'!$AP88,11),"+"," "),"")</f>
        <v/>
      </c>
      <c r="O88" s="82" t="str" cm="1">
        <f t="array" ref="O88">IFERROR(SUBSTITUTE(INDEX('Portfolio 3_2'!$O$3:$AK$101,'Portfolio 3_2'!$AP88,13),"+"," "),"")</f>
        <v/>
      </c>
      <c r="P88" s="82" t="str" cm="1">
        <f t="array" ref="P88">IFERROR(IF(ISNUMBER(FIND("กรุงเทพ",INDEX('Portfolio 3_2'!$O$3:$AK$101,'Portfolio 3_2'!$AP88,14))),"กรุงเทพมหานคร",INDEX('Portfolio 3_2'!$O$3:$AK$101,'Portfolio 3_2'!$AP88,14)),"")</f>
        <v/>
      </c>
      <c r="Q88" s="82" t="str" cm="1">
        <f t="array" ref="Q88">IFERROR(INDEX('Portfolio 3_2'!$O$3:$AK$101,'Portfolio 3_2'!$AP88,15),"")</f>
        <v/>
      </c>
      <c r="R88" s="82" t="str" cm="1">
        <f t="array" ref="R88">IFERROR(TEXT(INDEX('Portfolio 3_2'!$O$3:$AK$101,'Portfolio 3_2'!$AP88,16),"dd/mm/yyyy"),"")</f>
        <v/>
      </c>
      <c r="S88" s="82" t="str" cm="1">
        <f t="array" ref="S88">IFERROR(INDEX('Portfolio 3_2'!$O$3:$AK$101,'Portfolio 3_2'!$AP88,20),"")</f>
        <v/>
      </c>
      <c r="T88" s="82" t="str" cm="1">
        <f t="array" ref="T88">IFERROR(INDEX('Portfolio 3_2'!$O$3:$AK$101,'Portfolio 3_2'!$AP88,17),"")</f>
        <v/>
      </c>
      <c r="U88" s="83" t="str" cm="1">
        <f t="array" ref="U88">IFERROR(INDEX('Portfolio 3_2'!$O$3:$AK$101,'Portfolio 3_2'!$AP88,18),"")</f>
        <v/>
      </c>
      <c r="V88" s="83" t="str" cm="1">
        <f t="array" ref="V88">IFERROR(INDEX('Portfolio 3_2'!$O$3:$AK$101,'Portfolio 3_2'!$AP88,19),"")</f>
        <v/>
      </c>
      <c r="W88" s="1" t="str">
        <f t="shared" si="5"/>
        <v/>
      </c>
    </row>
    <row r="89" spans="1:23">
      <c r="A89" s="92" t="str">
        <f t="shared" si="4"/>
        <v/>
      </c>
      <c r="B89" s="82" t="str" cm="1">
        <f t="array" ref="B89">IFERROR(INDEX('Portfolio 3_2'!$O$3:$AK$101,'Portfolio 3_2'!$AP89,2),"")</f>
        <v/>
      </c>
      <c r="C89" s="82" t="str" cm="1">
        <f t="array" ref="C89">IFERROR(SUBSTITUTE(INDEX('Portfolio 3_2'!$O$3:$AK$101,'Portfolio 3_2'!$AP89,23),"น.ส.","นางสาว"),"")</f>
        <v/>
      </c>
      <c r="D89" s="82" t="str" cm="1">
        <f t="array" ref="D89">IFERROR(INDEX('Portfolio 3_2'!$O$3:$AK$101,'Portfolio 3_2'!$AP89,21),"")</f>
        <v/>
      </c>
      <c r="E89" s="82" t="str" cm="1">
        <f t="array" ref="E89">IFERROR(INDEX('Portfolio 3_2'!$O$3:$AK$101,'Portfolio 3_2'!$AP89,22),"")</f>
        <v/>
      </c>
      <c r="F89" s="82" t="str" cm="1">
        <f t="array" ref="F89">IFERROR(SUBSTITUTE(INDEX('Portfolio 3_2'!$O$3:$AK$101,'Portfolio 3_2'!$AP89,4),"+"," "),"")</f>
        <v/>
      </c>
      <c r="G89" s="82" t="str" cm="1">
        <f t="array" ref="G89">IFERROR(SUBSTITUTE(INDEX('Portfolio 3_2'!$O$3:$AK$101,'Portfolio 3_2'!$AP89,5),"+"," "),"")</f>
        <v/>
      </c>
      <c r="H89" s="82" t="str" cm="1">
        <f t="array" ref="H89">IFERROR(SUBSTITUTE(INDEX('Portfolio 3_2'!$O$3:$AK$101,'Portfolio 3_2'!$AP89,6),"+"," "),"")</f>
        <v/>
      </c>
      <c r="I89" s="82" t="str" cm="1">
        <f t="array" ref="I89">IFERROR(INDEX('Portfolio 3_2'!$O$3:$AK$101,'Portfolio 3_2'!$AP89,7),"")</f>
        <v/>
      </c>
      <c r="J89" s="82" t="str" cm="1">
        <f t="array" ref="J89">IFERROR(INDEX('Portfolio 3_2'!$O$3:$AK$101,'Portfolio 3_2'!$AP89,8),"")</f>
        <v/>
      </c>
      <c r="K89" s="82" t="str" cm="1">
        <f t="array" ref="K89">IFERROR(SUBSTITUTE(INDEX('Portfolio 3_2'!$O$3:$AK$101,'Portfolio 3_2'!$AP89,9),"+"," "),"")</f>
        <v/>
      </c>
      <c r="L89" s="82" t="str" cm="1">
        <f t="array" ref="L89">IFERROR(SUBSTITUTE(INDEX('Portfolio 3_2'!$O$3:$AK$101,'Portfolio 3_2'!$AP89,12),"+"," "),"")</f>
        <v/>
      </c>
      <c r="M89" s="82" t="str" cm="1">
        <f t="array" ref="M89">IFERROR(SUBSTITUTE(INDEX('Portfolio 3_2'!$O$3:$AK$101,'Portfolio 3_2'!$AP89,10),"+"," "),"")</f>
        <v/>
      </c>
      <c r="N89" s="82" t="str" cm="1">
        <f t="array" ref="N89">IFERROR(SUBSTITUTE(INDEX('Portfolio 3_2'!$O$3:$AK$101,'Portfolio 3_2'!$AP89,11),"+"," "),"")</f>
        <v/>
      </c>
      <c r="O89" s="82" t="str" cm="1">
        <f t="array" ref="O89">IFERROR(SUBSTITUTE(INDEX('Portfolio 3_2'!$O$3:$AK$101,'Portfolio 3_2'!$AP89,13),"+"," "),"")</f>
        <v/>
      </c>
      <c r="P89" s="82" t="str" cm="1">
        <f t="array" ref="P89">IFERROR(IF(ISNUMBER(FIND("กรุงเทพ",INDEX('Portfolio 3_2'!$O$3:$AK$101,'Portfolio 3_2'!$AP89,14))),"กรุงเทพมหานคร",INDEX('Portfolio 3_2'!$O$3:$AK$101,'Portfolio 3_2'!$AP89,14)),"")</f>
        <v/>
      </c>
      <c r="Q89" s="82" t="str" cm="1">
        <f t="array" ref="Q89">IFERROR(INDEX('Portfolio 3_2'!$O$3:$AK$101,'Portfolio 3_2'!$AP89,15),"")</f>
        <v/>
      </c>
      <c r="R89" s="82" t="str" cm="1">
        <f t="array" ref="R89">IFERROR(TEXT(INDEX('Portfolio 3_2'!$O$3:$AK$101,'Portfolio 3_2'!$AP89,16),"dd/mm/yyyy"),"")</f>
        <v/>
      </c>
      <c r="S89" s="82" t="str" cm="1">
        <f t="array" ref="S89">IFERROR(INDEX('Portfolio 3_2'!$O$3:$AK$101,'Portfolio 3_2'!$AP89,20),"")</f>
        <v/>
      </c>
      <c r="T89" s="82" t="str" cm="1">
        <f t="array" ref="T89">IFERROR(INDEX('Portfolio 3_2'!$O$3:$AK$101,'Portfolio 3_2'!$AP89,17),"")</f>
        <v/>
      </c>
      <c r="U89" s="83" t="str" cm="1">
        <f t="array" ref="U89">IFERROR(INDEX('Portfolio 3_2'!$O$3:$AK$101,'Portfolio 3_2'!$AP89,18),"")</f>
        <v/>
      </c>
      <c r="V89" s="83" t="str" cm="1">
        <f t="array" ref="V89">IFERROR(INDEX('Portfolio 3_2'!$O$3:$AK$101,'Portfolio 3_2'!$AP89,19),"")</f>
        <v/>
      </c>
      <c r="W89" s="1" t="str">
        <f t="shared" si="5"/>
        <v/>
      </c>
    </row>
    <row r="90" spans="1:23">
      <c r="A90" s="92" t="str">
        <f t="shared" si="4"/>
        <v/>
      </c>
      <c r="B90" s="82" t="str" cm="1">
        <f t="array" ref="B90">IFERROR(INDEX('Portfolio 3_2'!$O$3:$AK$101,'Portfolio 3_2'!$AP90,2),"")</f>
        <v/>
      </c>
      <c r="C90" s="82" t="str" cm="1">
        <f t="array" ref="C90">IFERROR(SUBSTITUTE(INDEX('Portfolio 3_2'!$O$3:$AK$101,'Portfolio 3_2'!$AP90,23),"น.ส.","นางสาว"),"")</f>
        <v/>
      </c>
      <c r="D90" s="82" t="str" cm="1">
        <f t="array" ref="D90">IFERROR(INDEX('Portfolio 3_2'!$O$3:$AK$101,'Portfolio 3_2'!$AP90,21),"")</f>
        <v/>
      </c>
      <c r="E90" s="82" t="str" cm="1">
        <f t="array" ref="E90">IFERROR(INDEX('Portfolio 3_2'!$O$3:$AK$101,'Portfolio 3_2'!$AP90,22),"")</f>
        <v/>
      </c>
      <c r="F90" s="82" t="str" cm="1">
        <f t="array" ref="F90">IFERROR(SUBSTITUTE(INDEX('Portfolio 3_2'!$O$3:$AK$101,'Portfolio 3_2'!$AP90,4),"+"," "),"")</f>
        <v/>
      </c>
      <c r="G90" s="82" t="str" cm="1">
        <f t="array" ref="G90">IFERROR(SUBSTITUTE(INDEX('Portfolio 3_2'!$O$3:$AK$101,'Portfolio 3_2'!$AP90,5),"+"," "),"")</f>
        <v/>
      </c>
      <c r="H90" s="82" t="str" cm="1">
        <f t="array" ref="H90">IFERROR(SUBSTITUTE(INDEX('Portfolio 3_2'!$O$3:$AK$101,'Portfolio 3_2'!$AP90,6),"+"," "),"")</f>
        <v/>
      </c>
      <c r="I90" s="82" t="str" cm="1">
        <f t="array" ref="I90">IFERROR(INDEX('Portfolio 3_2'!$O$3:$AK$101,'Portfolio 3_2'!$AP90,7),"")</f>
        <v/>
      </c>
      <c r="J90" s="82" t="str" cm="1">
        <f t="array" ref="J90">IFERROR(INDEX('Portfolio 3_2'!$O$3:$AK$101,'Portfolio 3_2'!$AP90,8),"")</f>
        <v/>
      </c>
      <c r="K90" s="82" t="str" cm="1">
        <f t="array" ref="K90">IFERROR(SUBSTITUTE(INDEX('Portfolio 3_2'!$O$3:$AK$101,'Portfolio 3_2'!$AP90,9),"+"," "),"")</f>
        <v/>
      </c>
      <c r="L90" s="82" t="str" cm="1">
        <f t="array" ref="L90">IFERROR(SUBSTITUTE(INDEX('Portfolio 3_2'!$O$3:$AK$101,'Portfolio 3_2'!$AP90,12),"+"," "),"")</f>
        <v/>
      </c>
      <c r="M90" s="82" t="str" cm="1">
        <f t="array" ref="M90">IFERROR(SUBSTITUTE(INDEX('Portfolio 3_2'!$O$3:$AK$101,'Portfolio 3_2'!$AP90,10),"+"," "),"")</f>
        <v/>
      </c>
      <c r="N90" s="82" t="str" cm="1">
        <f t="array" ref="N90">IFERROR(SUBSTITUTE(INDEX('Portfolio 3_2'!$O$3:$AK$101,'Portfolio 3_2'!$AP90,11),"+"," "),"")</f>
        <v/>
      </c>
      <c r="O90" s="82" t="str" cm="1">
        <f t="array" ref="O90">IFERROR(SUBSTITUTE(INDEX('Portfolio 3_2'!$O$3:$AK$101,'Portfolio 3_2'!$AP90,13),"+"," "),"")</f>
        <v/>
      </c>
      <c r="P90" s="82" t="str" cm="1">
        <f t="array" ref="P90">IFERROR(IF(ISNUMBER(FIND("กรุงเทพ",INDEX('Portfolio 3_2'!$O$3:$AK$101,'Portfolio 3_2'!$AP90,14))),"กรุงเทพมหานคร",INDEX('Portfolio 3_2'!$O$3:$AK$101,'Portfolio 3_2'!$AP90,14)),"")</f>
        <v/>
      </c>
      <c r="Q90" s="82" t="str" cm="1">
        <f t="array" ref="Q90">IFERROR(INDEX('Portfolio 3_2'!$O$3:$AK$101,'Portfolio 3_2'!$AP90,15),"")</f>
        <v/>
      </c>
      <c r="R90" s="82" t="str" cm="1">
        <f t="array" ref="R90">IFERROR(TEXT(INDEX('Portfolio 3_2'!$O$3:$AK$101,'Portfolio 3_2'!$AP90,16),"dd/mm/yyyy"),"")</f>
        <v/>
      </c>
      <c r="S90" s="82" t="str" cm="1">
        <f t="array" ref="S90">IFERROR(INDEX('Portfolio 3_2'!$O$3:$AK$101,'Portfolio 3_2'!$AP90,20),"")</f>
        <v/>
      </c>
      <c r="T90" s="82" t="str" cm="1">
        <f t="array" ref="T90">IFERROR(INDEX('Portfolio 3_2'!$O$3:$AK$101,'Portfolio 3_2'!$AP90,17),"")</f>
        <v/>
      </c>
      <c r="U90" s="83" t="str" cm="1">
        <f t="array" ref="U90">IFERROR(INDEX('Portfolio 3_2'!$O$3:$AK$101,'Portfolio 3_2'!$AP90,18),"")</f>
        <v/>
      </c>
      <c r="V90" s="83" t="str" cm="1">
        <f t="array" ref="V90">IFERROR(INDEX('Portfolio 3_2'!$O$3:$AK$101,'Portfolio 3_2'!$AP90,19),"")</f>
        <v/>
      </c>
      <c r="W90" s="1" t="str">
        <f t="shared" si="5"/>
        <v/>
      </c>
    </row>
    <row r="91" spans="1:23">
      <c r="A91" s="92" t="str">
        <f t="shared" si="4"/>
        <v/>
      </c>
      <c r="B91" s="82" t="str" cm="1">
        <f t="array" ref="B91">IFERROR(INDEX('Portfolio 3_2'!$O$3:$AK$101,'Portfolio 3_2'!$AP91,2),"")</f>
        <v/>
      </c>
      <c r="C91" s="82" t="str" cm="1">
        <f t="array" ref="C91">IFERROR(SUBSTITUTE(INDEX('Portfolio 3_2'!$O$3:$AK$101,'Portfolio 3_2'!$AP91,23),"น.ส.","นางสาว"),"")</f>
        <v/>
      </c>
      <c r="D91" s="82" t="str" cm="1">
        <f t="array" ref="D91">IFERROR(INDEX('Portfolio 3_2'!$O$3:$AK$101,'Portfolio 3_2'!$AP91,21),"")</f>
        <v/>
      </c>
      <c r="E91" s="82" t="str" cm="1">
        <f t="array" ref="E91">IFERROR(INDEX('Portfolio 3_2'!$O$3:$AK$101,'Portfolio 3_2'!$AP91,22),"")</f>
        <v/>
      </c>
      <c r="F91" s="82" t="str" cm="1">
        <f t="array" ref="F91">IFERROR(SUBSTITUTE(INDEX('Portfolio 3_2'!$O$3:$AK$101,'Portfolio 3_2'!$AP91,4),"+"," "),"")</f>
        <v/>
      </c>
      <c r="G91" s="82" t="str" cm="1">
        <f t="array" ref="G91">IFERROR(SUBSTITUTE(INDEX('Portfolio 3_2'!$O$3:$AK$101,'Portfolio 3_2'!$AP91,5),"+"," "),"")</f>
        <v/>
      </c>
      <c r="H91" s="82" t="str" cm="1">
        <f t="array" ref="H91">IFERROR(SUBSTITUTE(INDEX('Portfolio 3_2'!$O$3:$AK$101,'Portfolio 3_2'!$AP91,6),"+"," "),"")</f>
        <v/>
      </c>
      <c r="I91" s="82" t="str" cm="1">
        <f t="array" ref="I91">IFERROR(INDEX('Portfolio 3_2'!$O$3:$AK$101,'Portfolio 3_2'!$AP91,7),"")</f>
        <v/>
      </c>
      <c r="J91" s="82" t="str" cm="1">
        <f t="array" ref="J91">IFERROR(INDEX('Portfolio 3_2'!$O$3:$AK$101,'Portfolio 3_2'!$AP91,8),"")</f>
        <v/>
      </c>
      <c r="K91" s="82" t="str" cm="1">
        <f t="array" ref="K91">IFERROR(SUBSTITUTE(INDEX('Portfolio 3_2'!$O$3:$AK$101,'Portfolio 3_2'!$AP91,9),"+"," "),"")</f>
        <v/>
      </c>
      <c r="L91" s="82" t="str" cm="1">
        <f t="array" ref="L91">IFERROR(SUBSTITUTE(INDEX('Portfolio 3_2'!$O$3:$AK$101,'Portfolio 3_2'!$AP91,12),"+"," "),"")</f>
        <v/>
      </c>
      <c r="M91" s="82" t="str" cm="1">
        <f t="array" ref="M91">IFERROR(SUBSTITUTE(INDEX('Portfolio 3_2'!$O$3:$AK$101,'Portfolio 3_2'!$AP91,10),"+"," "),"")</f>
        <v/>
      </c>
      <c r="N91" s="82" t="str" cm="1">
        <f t="array" ref="N91">IFERROR(SUBSTITUTE(INDEX('Portfolio 3_2'!$O$3:$AK$101,'Portfolio 3_2'!$AP91,11),"+"," "),"")</f>
        <v/>
      </c>
      <c r="O91" s="82" t="str" cm="1">
        <f t="array" ref="O91">IFERROR(SUBSTITUTE(INDEX('Portfolio 3_2'!$O$3:$AK$101,'Portfolio 3_2'!$AP91,13),"+"," "),"")</f>
        <v/>
      </c>
      <c r="P91" s="82" t="str" cm="1">
        <f t="array" ref="P91">IFERROR(IF(ISNUMBER(FIND("กรุงเทพ",INDEX('Portfolio 3_2'!$O$3:$AK$101,'Portfolio 3_2'!$AP91,14))),"กรุงเทพมหานคร",INDEX('Portfolio 3_2'!$O$3:$AK$101,'Portfolio 3_2'!$AP91,14)),"")</f>
        <v/>
      </c>
      <c r="Q91" s="82" t="str" cm="1">
        <f t="array" ref="Q91">IFERROR(INDEX('Portfolio 3_2'!$O$3:$AK$101,'Portfolio 3_2'!$AP91,15),"")</f>
        <v/>
      </c>
      <c r="R91" s="82" t="str" cm="1">
        <f t="array" ref="R91">IFERROR(TEXT(INDEX('Portfolio 3_2'!$O$3:$AK$101,'Portfolio 3_2'!$AP91,16),"dd/mm/yyyy"),"")</f>
        <v/>
      </c>
      <c r="S91" s="82" t="str" cm="1">
        <f t="array" ref="S91">IFERROR(INDEX('Portfolio 3_2'!$O$3:$AK$101,'Portfolio 3_2'!$AP91,20),"")</f>
        <v/>
      </c>
      <c r="T91" s="82" t="str" cm="1">
        <f t="array" ref="T91">IFERROR(INDEX('Portfolio 3_2'!$O$3:$AK$101,'Portfolio 3_2'!$AP91,17),"")</f>
        <v/>
      </c>
      <c r="U91" s="83" t="str" cm="1">
        <f t="array" ref="U91">IFERROR(INDEX('Portfolio 3_2'!$O$3:$AK$101,'Portfolio 3_2'!$AP91,18),"")</f>
        <v/>
      </c>
      <c r="V91" s="83" t="str" cm="1">
        <f t="array" ref="V91">IFERROR(INDEX('Portfolio 3_2'!$O$3:$AK$101,'Portfolio 3_2'!$AP91,19),"")</f>
        <v/>
      </c>
      <c r="W91" s="1" t="str">
        <f t="shared" si="5"/>
        <v/>
      </c>
    </row>
    <row r="92" spans="1:23">
      <c r="A92" s="92" t="str">
        <f t="shared" si="4"/>
        <v/>
      </c>
      <c r="B92" s="82" t="str" cm="1">
        <f t="array" ref="B92">IFERROR(INDEX('Portfolio 3_2'!$O$3:$AK$101,'Portfolio 3_2'!$AP92,2),"")</f>
        <v/>
      </c>
      <c r="C92" s="82" t="str" cm="1">
        <f t="array" ref="C92">IFERROR(SUBSTITUTE(INDEX('Portfolio 3_2'!$O$3:$AK$101,'Portfolio 3_2'!$AP92,23),"น.ส.","นางสาว"),"")</f>
        <v/>
      </c>
      <c r="D92" s="82" t="str" cm="1">
        <f t="array" ref="D92">IFERROR(INDEX('Portfolio 3_2'!$O$3:$AK$101,'Portfolio 3_2'!$AP92,21),"")</f>
        <v/>
      </c>
      <c r="E92" s="82" t="str" cm="1">
        <f t="array" ref="E92">IFERROR(INDEX('Portfolio 3_2'!$O$3:$AK$101,'Portfolio 3_2'!$AP92,22),"")</f>
        <v/>
      </c>
      <c r="F92" s="82" t="str" cm="1">
        <f t="array" ref="F92">IFERROR(SUBSTITUTE(INDEX('Portfolio 3_2'!$O$3:$AK$101,'Portfolio 3_2'!$AP92,4),"+"," "),"")</f>
        <v/>
      </c>
      <c r="G92" s="82" t="str" cm="1">
        <f t="array" ref="G92">IFERROR(SUBSTITUTE(INDEX('Portfolio 3_2'!$O$3:$AK$101,'Portfolio 3_2'!$AP92,5),"+"," "),"")</f>
        <v/>
      </c>
      <c r="H92" s="82" t="str" cm="1">
        <f t="array" ref="H92">IFERROR(SUBSTITUTE(INDEX('Portfolio 3_2'!$O$3:$AK$101,'Portfolio 3_2'!$AP92,6),"+"," "),"")</f>
        <v/>
      </c>
      <c r="I92" s="82" t="str" cm="1">
        <f t="array" ref="I92">IFERROR(INDEX('Portfolio 3_2'!$O$3:$AK$101,'Portfolio 3_2'!$AP92,7),"")</f>
        <v/>
      </c>
      <c r="J92" s="82" t="str" cm="1">
        <f t="array" ref="J92">IFERROR(INDEX('Portfolio 3_2'!$O$3:$AK$101,'Portfolio 3_2'!$AP92,8),"")</f>
        <v/>
      </c>
      <c r="K92" s="82" t="str" cm="1">
        <f t="array" ref="K92">IFERROR(SUBSTITUTE(INDEX('Portfolio 3_2'!$O$3:$AK$101,'Portfolio 3_2'!$AP92,9),"+"," "),"")</f>
        <v/>
      </c>
      <c r="L92" s="82" t="str" cm="1">
        <f t="array" ref="L92">IFERROR(SUBSTITUTE(INDEX('Portfolio 3_2'!$O$3:$AK$101,'Portfolio 3_2'!$AP92,12),"+"," "),"")</f>
        <v/>
      </c>
      <c r="M92" s="82" t="str" cm="1">
        <f t="array" ref="M92">IFERROR(SUBSTITUTE(INDEX('Portfolio 3_2'!$O$3:$AK$101,'Portfolio 3_2'!$AP92,10),"+"," "),"")</f>
        <v/>
      </c>
      <c r="N92" s="82" t="str" cm="1">
        <f t="array" ref="N92">IFERROR(SUBSTITUTE(INDEX('Portfolio 3_2'!$O$3:$AK$101,'Portfolio 3_2'!$AP92,11),"+"," "),"")</f>
        <v/>
      </c>
      <c r="O92" s="82" t="str" cm="1">
        <f t="array" ref="O92">IFERROR(SUBSTITUTE(INDEX('Portfolio 3_2'!$O$3:$AK$101,'Portfolio 3_2'!$AP92,13),"+"," "),"")</f>
        <v/>
      </c>
      <c r="P92" s="82" t="str" cm="1">
        <f t="array" ref="P92">IFERROR(IF(ISNUMBER(FIND("กรุงเทพ",INDEX('Portfolio 3_2'!$O$3:$AK$101,'Portfolio 3_2'!$AP92,14))),"กรุงเทพมหานคร",INDEX('Portfolio 3_2'!$O$3:$AK$101,'Portfolio 3_2'!$AP92,14)),"")</f>
        <v/>
      </c>
      <c r="Q92" s="82" t="str" cm="1">
        <f t="array" ref="Q92">IFERROR(INDEX('Portfolio 3_2'!$O$3:$AK$101,'Portfolio 3_2'!$AP92,15),"")</f>
        <v/>
      </c>
      <c r="R92" s="82" t="str" cm="1">
        <f t="array" ref="R92">IFERROR(TEXT(INDEX('Portfolio 3_2'!$O$3:$AK$101,'Portfolio 3_2'!$AP92,16),"dd/mm/yyyy"),"")</f>
        <v/>
      </c>
      <c r="S92" s="82" t="str" cm="1">
        <f t="array" ref="S92">IFERROR(INDEX('Portfolio 3_2'!$O$3:$AK$101,'Portfolio 3_2'!$AP92,20),"")</f>
        <v/>
      </c>
      <c r="T92" s="82" t="str" cm="1">
        <f t="array" ref="T92">IFERROR(INDEX('Portfolio 3_2'!$O$3:$AK$101,'Portfolio 3_2'!$AP92,17),"")</f>
        <v/>
      </c>
      <c r="U92" s="83" t="str" cm="1">
        <f t="array" ref="U92">IFERROR(INDEX('Portfolio 3_2'!$O$3:$AK$101,'Portfolio 3_2'!$AP92,18),"")</f>
        <v/>
      </c>
      <c r="V92" s="83" t="str" cm="1">
        <f t="array" ref="V92">IFERROR(INDEX('Portfolio 3_2'!$O$3:$AK$101,'Portfolio 3_2'!$AP92,19),"")</f>
        <v/>
      </c>
      <c r="W92" s="1" t="str">
        <f t="shared" si="5"/>
        <v/>
      </c>
    </row>
    <row r="93" spans="1:23">
      <c r="A93" s="92" t="str">
        <f t="shared" si="4"/>
        <v/>
      </c>
      <c r="B93" s="82" t="str" cm="1">
        <f t="array" ref="B93">IFERROR(INDEX('Portfolio 3_2'!$O$3:$AK$101,'Portfolio 3_2'!$AP93,2),"")</f>
        <v/>
      </c>
      <c r="C93" s="82" t="str" cm="1">
        <f t="array" ref="C93">IFERROR(SUBSTITUTE(INDEX('Portfolio 3_2'!$O$3:$AK$101,'Portfolio 3_2'!$AP93,23),"น.ส.","นางสาว"),"")</f>
        <v/>
      </c>
      <c r="D93" s="82" t="str" cm="1">
        <f t="array" ref="D93">IFERROR(INDEX('Portfolio 3_2'!$O$3:$AK$101,'Portfolio 3_2'!$AP93,21),"")</f>
        <v/>
      </c>
      <c r="E93" s="82" t="str" cm="1">
        <f t="array" ref="E93">IFERROR(INDEX('Portfolio 3_2'!$O$3:$AK$101,'Portfolio 3_2'!$AP93,22),"")</f>
        <v/>
      </c>
      <c r="F93" s="82" t="str" cm="1">
        <f t="array" ref="F93">IFERROR(SUBSTITUTE(INDEX('Portfolio 3_2'!$O$3:$AK$101,'Portfolio 3_2'!$AP93,4),"+"," "),"")</f>
        <v/>
      </c>
      <c r="G93" s="82" t="str" cm="1">
        <f t="array" ref="G93">IFERROR(SUBSTITUTE(INDEX('Portfolio 3_2'!$O$3:$AK$101,'Portfolio 3_2'!$AP93,5),"+"," "),"")</f>
        <v/>
      </c>
      <c r="H93" s="82" t="str" cm="1">
        <f t="array" ref="H93">IFERROR(SUBSTITUTE(INDEX('Portfolio 3_2'!$O$3:$AK$101,'Portfolio 3_2'!$AP93,6),"+"," "),"")</f>
        <v/>
      </c>
      <c r="I93" s="82" t="str" cm="1">
        <f t="array" ref="I93">IFERROR(INDEX('Portfolio 3_2'!$O$3:$AK$101,'Portfolio 3_2'!$AP93,7),"")</f>
        <v/>
      </c>
      <c r="J93" s="82" t="str" cm="1">
        <f t="array" ref="J93">IFERROR(INDEX('Portfolio 3_2'!$O$3:$AK$101,'Portfolio 3_2'!$AP93,8),"")</f>
        <v/>
      </c>
      <c r="K93" s="82" t="str" cm="1">
        <f t="array" ref="K93">IFERROR(SUBSTITUTE(INDEX('Portfolio 3_2'!$O$3:$AK$101,'Portfolio 3_2'!$AP93,9),"+"," "),"")</f>
        <v/>
      </c>
      <c r="L93" s="82" t="str" cm="1">
        <f t="array" ref="L93">IFERROR(SUBSTITUTE(INDEX('Portfolio 3_2'!$O$3:$AK$101,'Portfolio 3_2'!$AP93,12),"+"," "),"")</f>
        <v/>
      </c>
      <c r="M93" s="82" t="str" cm="1">
        <f t="array" ref="M93">IFERROR(SUBSTITUTE(INDEX('Portfolio 3_2'!$O$3:$AK$101,'Portfolio 3_2'!$AP93,10),"+"," "),"")</f>
        <v/>
      </c>
      <c r="N93" s="82" t="str" cm="1">
        <f t="array" ref="N93">IFERROR(SUBSTITUTE(INDEX('Portfolio 3_2'!$O$3:$AK$101,'Portfolio 3_2'!$AP93,11),"+"," "),"")</f>
        <v/>
      </c>
      <c r="O93" s="82" t="str" cm="1">
        <f t="array" ref="O93">IFERROR(SUBSTITUTE(INDEX('Portfolio 3_2'!$O$3:$AK$101,'Portfolio 3_2'!$AP93,13),"+"," "),"")</f>
        <v/>
      </c>
      <c r="P93" s="82" t="str" cm="1">
        <f t="array" ref="P93">IFERROR(IF(ISNUMBER(FIND("กรุงเทพ",INDEX('Portfolio 3_2'!$O$3:$AK$101,'Portfolio 3_2'!$AP93,14))),"กรุงเทพมหานคร",INDEX('Portfolio 3_2'!$O$3:$AK$101,'Portfolio 3_2'!$AP93,14)),"")</f>
        <v/>
      </c>
      <c r="Q93" s="82" t="str" cm="1">
        <f t="array" ref="Q93">IFERROR(INDEX('Portfolio 3_2'!$O$3:$AK$101,'Portfolio 3_2'!$AP93,15),"")</f>
        <v/>
      </c>
      <c r="R93" s="82" t="str" cm="1">
        <f t="array" ref="R93">IFERROR(TEXT(INDEX('Portfolio 3_2'!$O$3:$AK$101,'Portfolio 3_2'!$AP93,16),"dd/mm/yyyy"),"")</f>
        <v/>
      </c>
      <c r="S93" s="82" t="str" cm="1">
        <f t="array" ref="S93">IFERROR(INDEX('Portfolio 3_2'!$O$3:$AK$101,'Portfolio 3_2'!$AP93,20),"")</f>
        <v/>
      </c>
      <c r="T93" s="82" t="str" cm="1">
        <f t="array" ref="T93">IFERROR(INDEX('Portfolio 3_2'!$O$3:$AK$101,'Portfolio 3_2'!$AP93,17),"")</f>
        <v/>
      </c>
      <c r="U93" s="83" t="str" cm="1">
        <f t="array" ref="U93">IFERROR(INDEX('Portfolio 3_2'!$O$3:$AK$101,'Portfolio 3_2'!$AP93,18),"")</f>
        <v/>
      </c>
      <c r="V93" s="83" t="str" cm="1">
        <f t="array" ref="V93">IFERROR(INDEX('Portfolio 3_2'!$O$3:$AK$101,'Portfolio 3_2'!$AP93,19),"")</f>
        <v/>
      </c>
      <c r="W93" s="1" t="str">
        <f t="shared" si="5"/>
        <v/>
      </c>
    </row>
    <row r="94" spans="1:23">
      <c r="A94" s="92" t="str">
        <f t="shared" si="4"/>
        <v/>
      </c>
      <c r="B94" s="82" t="str" cm="1">
        <f t="array" ref="B94">IFERROR(INDEX('Portfolio 3_2'!$O$3:$AK$101,'Portfolio 3_2'!$AP94,2),"")</f>
        <v/>
      </c>
      <c r="C94" s="82" t="str" cm="1">
        <f t="array" ref="C94">IFERROR(SUBSTITUTE(INDEX('Portfolio 3_2'!$O$3:$AK$101,'Portfolio 3_2'!$AP94,23),"น.ส.","นางสาว"),"")</f>
        <v/>
      </c>
      <c r="D94" s="82" t="str" cm="1">
        <f t="array" ref="D94">IFERROR(INDEX('Portfolio 3_2'!$O$3:$AK$101,'Portfolio 3_2'!$AP94,21),"")</f>
        <v/>
      </c>
      <c r="E94" s="82" t="str" cm="1">
        <f t="array" ref="E94">IFERROR(INDEX('Portfolio 3_2'!$O$3:$AK$101,'Portfolio 3_2'!$AP94,22),"")</f>
        <v/>
      </c>
      <c r="F94" s="82" t="str" cm="1">
        <f t="array" ref="F94">IFERROR(SUBSTITUTE(INDEX('Portfolio 3_2'!$O$3:$AK$101,'Portfolio 3_2'!$AP94,4),"+"," "),"")</f>
        <v/>
      </c>
      <c r="G94" s="82" t="str" cm="1">
        <f t="array" ref="G94">IFERROR(SUBSTITUTE(INDEX('Portfolio 3_2'!$O$3:$AK$101,'Portfolio 3_2'!$AP94,5),"+"," "),"")</f>
        <v/>
      </c>
      <c r="H94" s="82" t="str" cm="1">
        <f t="array" ref="H94">IFERROR(SUBSTITUTE(INDEX('Portfolio 3_2'!$O$3:$AK$101,'Portfolio 3_2'!$AP94,6),"+"," "),"")</f>
        <v/>
      </c>
      <c r="I94" s="82" t="str" cm="1">
        <f t="array" ref="I94">IFERROR(INDEX('Portfolio 3_2'!$O$3:$AK$101,'Portfolio 3_2'!$AP94,7),"")</f>
        <v/>
      </c>
      <c r="J94" s="82" t="str" cm="1">
        <f t="array" ref="J94">IFERROR(INDEX('Portfolio 3_2'!$O$3:$AK$101,'Portfolio 3_2'!$AP94,8),"")</f>
        <v/>
      </c>
      <c r="K94" s="82" t="str" cm="1">
        <f t="array" ref="K94">IFERROR(SUBSTITUTE(INDEX('Portfolio 3_2'!$O$3:$AK$101,'Portfolio 3_2'!$AP94,9),"+"," "),"")</f>
        <v/>
      </c>
      <c r="L94" s="82" t="str" cm="1">
        <f t="array" ref="L94">IFERROR(SUBSTITUTE(INDEX('Portfolio 3_2'!$O$3:$AK$101,'Portfolio 3_2'!$AP94,12),"+"," "),"")</f>
        <v/>
      </c>
      <c r="M94" s="82" t="str" cm="1">
        <f t="array" ref="M94">IFERROR(SUBSTITUTE(INDEX('Portfolio 3_2'!$O$3:$AK$101,'Portfolio 3_2'!$AP94,10),"+"," "),"")</f>
        <v/>
      </c>
      <c r="N94" s="82" t="str" cm="1">
        <f t="array" ref="N94">IFERROR(SUBSTITUTE(INDEX('Portfolio 3_2'!$O$3:$AK$101,'Portfolio 3_2'!$AP94,11),"+"," "),"")</f>
        <v/>
      </c>
      <c r="O94" s="82" t="str" cm="1">
        <f t="array" ref="O94">IFERROR(SUBSTITUTE(INDEX('Portfolio 3_2'!$O$3:$AK$101,'Portfolio 3_2'!$AP94,13),"+"," "),"")</f>
        <v/>
      </c>
      <c r="P94" s="82" t="str" cm="1">
        <f t="array" ref="P94">IFERROR(IF(ISNUMBER(FIND("กรุงเทพ",INDEX('Portfolio 3_2'!$O$3:$AK$101,'Portfolio 3_2'!$AP94,14))),"กรุงเทพมหานคร",INDEX('Portfolio 3_2'!$O$3:$AK$101,'Portfolio 3_2'!$AP94,14)),"")</f>
        <v/>
      </c>
      <c r="Q94" s="82" t="str" cm="1">
        <f t="array" ref="Q94">IFERROR(INDEX('Portfolio 3_2'!$O$3:$AK$101,'Portfolio 3_2'!$AP94,15),"")</f>
        <v/>
      </c>
      <c r="R94" s="82" t="str" cm="1">
        <f t="array" ref="R94">IFERROR(TEXT(INDEX('Portfolio 3_2'!$O$3:$AK$101,'Portfolio 3_2'!$AP94,16),"dd/mm/yyyy"),"")</f>
        <v/>
      </c>
      <c r="S94" s="82" t="str" cm="1">
        <f t="array" ref="S94">IFERROR(INDEX('Portfolio 3_2'!$O$3:$AK$101,'Portfolio 3_2'!$AP94,20),"")</f>
        <v/>
      </c>
      <c r="T94" s="82" t="str" cm="1">
        <f t="array" ref="T94">IFERROR(INDEX('Portfolio 3_2'!$O$3:$AK$101,'Portfolio 3_2'!$AP94,17),"")</f>
        <v/>
      </c>
      <c r="U94" s="83" t="str" cm="1">
        <f t="array" ref="U94">IFERROR(INDEX('Portfolio 3_2'!$O$3:$AK$101,'Portfolio 3_2'!$AP94,18),"")</f>
        <v/>
      </c>
      <c r="V94" s="83" t="str" cm="1">
        <f t="array" ref="V94">IFERROR(INDEX('Portfolio 3_2'!$O$3:$AK$101,'Portfolio 3_2'!$AP94,19),"")</f>
        <v/>
      </c>
      <c r="W94" s="1" t="str">
        <f t="shared" si="5"/>
        <v/>
      </c>
    </row>
    <row r="95" spans="1:23">
      <c r="A95" s="92" t="str">
        <f t="shared" si="4"/>
        <v/>
      </c>
      <c r="B95" s="82" t="str" cm="1">
        <f t="array" ref="B95">IFERROR(INDEX('Portfolio 3_2'!$O$3:$AK$101,'Portfolio 3_2'!$AP95,2),"")</f>
        <v/>
      </c>
      <c r="C95" s="82" t="str" cm="1">
        <f t="array" ref="C95">IFERROR(SUBSTITUTE(INDEX('Portfolio 3_2'!$O$3:$AK$101,'Portfolio 3_2'!$AP95,23),"น.ส.","นางสาว"),"")</f>
        <v/>
      </c>
      <c r="D95" s="82" t="str" cm="1">
        <f t="array" ref="D95">IFERROR(INDEX('Portfolio 3_2'!$O$3:$AK$101,'Portfolio 3_2'!$AP95,21),"")</f>
        <v/>
      </c>
      <c r="E95" s="82" t="str" cm="1">
        <f t="array" ref="E95">IFERROR(INDEX('Portfolio 3_2'!$O$3:$AK$101,'Portfolio 3_2'!$AP95,22),"")</f>
        <v/>
      </c>
      <c r="F95" s="82" t="str" cm="1">
        <f t="array" ref="F95">IFERROR(SUBSTITUTE(INDEX('Portfolio 3_2'!$O$3:$AK$101,'Portfolio 3_2'!$AP95,4),"+"," "),"")</f>
        <v/>
      </c>
      <c r="G95" s="82" t="str" cm="1">
        <f t="array" ref="G95">IFERROR(SUBSTITUTE(INDEX('Portfolio 3_2'!$O$3:$AK$101,'Portfolio 3_2'!$AP95,5),"+"," "),"")</f>
        <v/>
      </c>
      <c r="H95" s="82" t="str" cm="1">
        <f t="array" ref="H95">IFERROR(SUBSTITUTE(INDEX('Portfolio 3_2'!$O$3:$AK$101,'Portfolio 3_2'!$AP95,6),"+"," "),"")</f>
        <v/>
      </c>
      <c r="I95" s="82" t="str" cm="1">
        <f t="array" ref="I95">IFERROR(INDEX('Portfolio 3_2'!$O$3:$AK$101,'Portfolio 3_2'!$AP95,7),"")</f>
        <v/>
      </c>
      <c r="J95" s="82" t="str" cm="1">
        <f t="array" ref="J95">IFERROR(INDEX('Portfolio 3_2'!$O$3:$AK$101,'Portfolio 3_2'!$AP95,8),"")</f>
        <v/>
      </c>
      <c r="K95" s="82" t="str" cm="1">
        <f t="array" ref="K95">IFERROR(SUBSTITUTE(INDEX('Portfolio 3_2'!$O$3:$AK$101,'Portfolio 3_2'!$AP95,9),"+"," "),"")</f>
        <v/>
      </c>
      <c r="L95" s="82" t="str" cm="1">
        <f t="array" ref="L95">IFERROR(SUBSTITUTE(INDEX('Portfolio 3_2'!$O$3:$AK$101,'Portfolio 3_2'!$AP95,12),"+"," "),"")</f>
        <v/>
      </c>
      <c r="M95" s="82" t="str" cm="1">
        <f t="array" ref="M95">IFERROR(SUBSTITUTE(INDEX('Portfolio 3_2'!$O$3:$AK$101,'Portfolio 3_2'!$AP95,10),"+"," "),"")</f>
        <v/>
      </c>
      <c r="N95" s="82" t="str" cm="1">
        <f t="array" ref="N95">IFERROR(SUBSTITUTE(INDEX('Portfolio 3_2'!$O$3:$AK$101,'Portfolio 3_2'!$AP95,11),"+"," "),"")</f>
        <v/>
      </c>
      <c r="O95" s="82" t="str" cm="1">
        <f t="array" ref="O95">IFERROR(SUBSTITUTE(INDEX('Portfolio 3_2'!$O$3:$AK$101,'Portfolio 3_2'!$AP95,13),"+"," "),"")</f>
        <v/>
      </c>
      <c r="P95" s="82" t="str" cm="1">
        <f t="array" ref="P95">IFERROR(IF(ISNUMBER(FIND("กรุงเทพ",INDEX('Portfolio 3_2'!$O$3:$AK$101,'Portfolio 3_2'!$AP95,14))),"กรุงเทพมหานคร",INDEX('Portfolio 3_2'!$O$3:$AK$101,'Portfolio 3_2'!$AP95,14)),"")</f>
        <v/>
      </c>
      <c r="Q95" s="82" t="str" cm="1">
        <f t="array" ref="Q95">IFERROR(INDEX('Portfolio 3_2'!$O$3:$AK$101,'Portfolio 3_2'!$AP95,15),"")</f>
        <v/>
      </c>
      <c r="R95" s="82" t="str" cm="1">
        <f t="array" ref="R95">IFERROR(TEXT(INDEX('Portfolio 3_2'!$O$3:$AK$101,'Portfolio 3_2'!$AP95,16),"dd/mm/yyyy"),"")</f>
        <v/>
      </c>
      <c r="S95" s="82" t="str" cm="1">
        <f t="array" ref="S95">IFERROR(INDEX('Portfolio 3_2'!$O$3:$AK$101,'Portfolio 3_2'!$AP95,20),"")</f>
        <v/>
      </c>
      <c r="T95" s="82" t="str" cm="1">
        <f t="array" ref="T95">IFERROR(INDEX('Portfolio 3_2'!$O$3:$AK$101,'Portfolio 3_2'!$AP95,17),"")</f>
        <v/>
      </c>
      <c r="U95" s="83" t="str" cm="1">
        <f t="array" ref="U95">IFERROR(INDEX('Portfolio 3_2'!$O$3:$AK$101,'Portfolio 3_2'!$AP95,18),"")</f>
        <v/>
      </c>
      <c r="V95" s="83" t="str" cm="1">
        <f t="array" ref="V95">IFERROR(INDEX('Portfolio 3_2'!$O$3:$AK$101,'Portfolio 3_2'!$AP95,19),"")</f>
        <v/>
      </c>
      <c r="W95" s="1" t="str">
        <f t="shared" si="5"/>
        <v/>
      </c>
    </row>
    <row r="96" spans="1:23">
      <c r="A96" s="92" t="str">
        <f t="shared" si="4"/>
        <v/>
      </c>
      <c r="B96" s="82" t="str" cm="1">
        <f t="array" ref="B96">IFERROR(INDEX('Portfolio 3_2'!$O$3:$AK$101,'Portfolio 3_2'!$AP96,2),"")</f>
        <v/>
      </c>
      <c r="C96" s="82" t="str" cm="1">
        <f t="array" ref="C96">IFERROR(SUBSTITUTE(INDEX('Portfolio 3_2'!$O$3:$AK$101,'Portfolio 3_2'!$AP96,23),"น.ส.","นางสาว"),"")</f>
        <v/>
      </c>
      <c r="D96" s="82" t="str" cm="1">
        <f t="array" ref="D96">IFERROR(INDEX('Portfolio 3_2'!$O$3:$AK$101,'Portfolio 3_2'!$AP96,21),"")</f>
        <v/>
      </c>
      <c r="E96" s="82" t="str" cm="1">
        <f t="array" ref="E96">IFERROR(INDEX('Portfolio 3_2'!$O$3:$AK$101,'Portfolio 3_2'!$AP96,22),"")</f>
        <v/>
      </c>
      <c r="F96" s="82" t="str" cm="1">
        <f t="array" ref="F96">IFERROR(SUBSTITUTE(INDEX('Portfolio 3_2'!$O$3:$AK$101,'Portfolio 3_2'!$AP96,4),"+"," "),"")</f>
        <v/>
      </c>
      <c r="G96" s="82" t="str" cm="1">
        <f t="array" ref="G96">IFERROR(SUBSTITUTE(INDEX('Portfolio 3_2'!$O$3:$AK$101,'Portfolio 3_2'!$AP96,5),"+"," "),"")</f>
        <v/>
      </c>
      <c r="H96" s="82" t="str" cm="1">
        <f t="array" ref="H96">IFERROR(SUBSTITUTE(INDEX('Portfolio 3_2'!$O$3:$AK$101,'Portfolio 3_2'!$AP96,6),"+"," "),"")</f>
        <v/>
      </c>
      <c r="I96" s="82" t="str" cm="1">
        <f t="array" ref="I96">IFERROR(INDEX('Portfolio 3_2'!$O$3:$AK$101,'Portfolio 3_2'!$AP96,7),"")</f>
        <v/>
      </c>
      <c r="J96" s="82" t="str" cm="1">
        <f t="array" ref="J96">IFERROR(INDEX('Portfolio 3_2'!$O$3:$AK$101,'Portfolio 3_2'!$AP96,8),"")</f>
        <v/>
      </c>
      <c r="K96" s="82" t="str" cm="1">
        <f t="array" ref="K96">IFERROR(SUBSTITUTE(INDEX('Portfolio 3_2'!$O$3:$AK$101,'Portfolio 3_2'!$AP96,9),"+"," "),"")</f>
        <v/>
      </c>
      <c r="L96" s="82" t="str" cm="1">
        <f t="array" ref="L96">IFERROR(SUBSTITUTE(INDEX('Portfolio 3_2'!$O$3:$AK$101,'Portfolio 3_2'!$AP96,12),"+"," "),"")</f>
        <v/>
      </c>
      <c r="M96" s="82" t="str" cm="1">
        <f t="array" ref="M96">IFERROR(SUBSTITUTE(INDEX('Portfolio 3_2'!$O$3:$AK$101,'Portfolio 3_2'!$AP96,10),"+"," "),"")</f>
        <v/>
      </c>
      <c r="N96" s="82" t="str" cm="1">
        <f t="array" ref="N96">IFERROR(SUBSTITUTE(INDEX('Portfolio 3_2'!$O$3:$AK$101,'Portfolio 3_2'!$AP96,11),"+"," "),"")</f>
        <v/>
      </c>
      <c r="O96" s="82" t="str" cm="1">
        <f t="array" ref="O96">IFERROR(SUBSTITUTE(INDEX('Portfolio 3_2'!$O$3:$AK$101,'Portfolio 3_2'!$AP96,13),"+"," "),"")</f>
        <v/>
      </c>
      <c r="P96" s="82" t="str" cm="1">
        <f t="array" ref="P96">IFERROR(IF(ISNUMBER(FIND("กรุงเทพ",INDEX('Portfolio 3_2'!$O$3:$AK$101,'Portfolio 3_2'!$AP96,14))),"กรุงเทพมหานคร",INDEX('Portfolio 3_2'!$O$3:$AK$101,'Portfolio 3_2'!$AP96,14)),"")</f>
        <v/>
      </c>
      <c r="Q96" s="82" t="str" cm="1">
        <f t="array" ref="Q96">IFERROR(INDEX('Portfolio 3_2'!$O$3:$AK$101,'Portfolio 3_2'!$AP96,15),"")</f>
        <v/>
      </c>
      <c r="R96" s="82" t="str" cm="1">
        <f t="array" ref="R96">IFERROR(TEXT(INDEX('Portfolio 3_2'!$O$3:$AK$101,'Portfolio 3_2'!$AP96,16),"dd/mm/yyyy"),"")</f>
        <v/>
      </c>
      <c r="S96" s="82" t="str" cm="1">
        <f t="array" ref="S96">IFERROR(INDEX('Portfolio 3_2'!$O$3:$AK$101,'Portfolio 3_2'!$AP96,20),"")</f>
        <v/>
      </c>
      <c r="T96" s="82" t="str" cm="1">
        <f t="array" ref="T96">IFERROR(INDEX('Portfolio 3_2'!$O$3:$AK$101,'Portfolio 3_2'!$AP96,17),"")</f>
        <v/>
      </c>
      <c r="U96" s="83" t="str" cm="1">
        <f t="array" ref="U96">IFERROR(INDEX('Portfolio 3_2'!$O$3:$AK$101,'Portfolio 3_2'!$AP96,18),"")</f>
        <v/>
      </c>
      <c r="V96" s="83" t="str" cm="1">
        <f t="array" ref="V96">IFERROR(INDEX('Portfolio 3_2'!$O$3:$AK$101,'Portfolio 3_2'!$AP96,19),"")</f>
        <v/>
      </c>
      <c r="W96" s="1" t="str">
        <f t="shared" si="5"/>
        <v/>
      </c>
    </row>
    <row r="97" spans="1:23">
      <c r="A97" s="92" t="str">
        <f t="shared" si="4"/>
        <v/>
      </c>
      <c r="B97" s="82" t="str" cm="1">
        <f t="array" ref="B97">IFERROR(INDEX('Portfolio 3_2'!$O$3:$AK$101,'Portfolio 3_2'!$AP97,2),"")</f>
        <v/>
      </c>
      <c r="C97" s="82" t="str" cm="1">
        <f t="array" ref="C97">IFERROR(SUBSTITUTE(INDEX('Portfolio 3_2'!$O$3:$AK$101,'Portfolio 3_2'!$AP97,23),"น.ส.","นางสาว"),"")</f>
        <v/>
      </c>
      <c r="D97" s="82" t="str" cm="1">
        <f t="array" ref="D97">IFERROR(INDEX('Portfolio 3_2'!$O$3:$AK$101,'Portfolio 3_2'!$AP97,21),"")</f>
        <v/>
      </c>
      <c r="E97" s="82" t="str" cm="1">
        <f t="array" ref="E97">IFERROR(INDEX('Portfolio 3_2'!$O$3:$AK$101,'Portfolio 3_2'!$AP97,22),"")</f>
        <v/>
      </c>
      <c r="F97" s="82" t="str" cm="1">
        <f t="array" ref="F97">IFERROR(SUBSTITUTE(INDEX('Portfolio 3_2'!$O$3:$AK$101,'Portfolio 3_2'!$AP97,4),"+"," "),"")</f>
        <v/>
      </c>
      <c r="G97" s="82" t="str" cm="1">
        <f t="array" ref="G97">IFERROR(SUBSTITUTE(INDEX('Portfolio 3_2'!$O$3:$AK$101,'Portfolio 3_2'!$AP97,5),"+"," "),"")</f>
        <v/>
      </c>
      <c r="H97" s="82" t="str" cm="1">
        <f t="array" ref="H97">IFERROR(SUBSTITUTE(INDEX('Portfolio 3_2'!$O$3:$AK$101,'Portfolio 3_2'!$AP97,6),"+"," "),"")</f>
        <v/>
      </c>
      <c r="I97" s="82" t="str" cm="1">
        <f t="array" ref="I97">IFERROR(INDEX('Portfolio 3_2'!$O$3:$AK$101,'Portfolio 3_2'!$AP97,7),"")</f>
        <v/>
      </c>
      <c r="J97" s="82" t="str" cm="1">
        <f t="array" ref="J97">IFERROR(INDEX('Portfolio 3_2'!$O$3:$AK$101,'Portfolio 3_2'!$AP97,8),"")</f>
        <v/>
      </c>
      <c r="K97" s="82" t="str" cm="1">
        <f t="array" ref="K97">IFERROR(SUBSTITUTE(INDEX('Portfolio 3_2'!$O$3:$AK$101,'Portfolio 3_2'!$AP97,9),"+"," "),"")</f>
        <v/>
      </c>
      <c r="L97" s="82" t="str" cm="1">
        <f t="array" ref="L97">IFERROR(SUBSTITUTE(INDEX('Portfolio 3_2'!$O$3:$AK$101,'Portfolio 3_2'!$AP97,12),"+"," "),"")</f>
        <v/>
      </c>
      <c r="M97" s="82" t="str" cm="1">
        <f t="array" ref="M97">IFERROR(SUBSTITUTE(INDEX('Portfolio 3_2'!$O$3:$AK$101,'Portfolio 3_2'!$AP97,10),"+"," "),"")</f>
        <v/>
      </c>
      <c r="N97" s="82" t="str" cm="1">
        <f t="array" ref="N97">IFERROR(SUBSTITUTE(INDEX('Portfolio 3_2'!$O$3:$AK$101,'Portfolio 3_2'!$AP97,11),"+"," "),"")</f>
        <v/>
      </c>
      <c r="O97" s="82" t="str" cm="1">
        <f t="array" ref="O97">IFERROR(SUBSTITUTE(INDEX('Portfolio 3_2'!$O$3:$AK$101,'Portfolio 3_2'!$AP97,13),"+"," "),"")</f>
        <v/>
      </c>
      <c r="P97" s="82" t="str" cm="1">
        <f t="array" ref="P97">IFERROR(IF(ISNUMBER(FIND("กรุงเทพ",INDEX('Portfolio 3_2'!$O$3:$AK$101,'Portfolio 3_2'!$AP97,14))),"กรุงเทพมหานคร",INDEX('Portfolio 3_2'!$O$3:$AK$101,'Portfolio 3_2'!$AP97,14)),"")</f>
        <v/>
      </c>
      <c r="Q97" s="82" t="str" cm="1">
        <f t="array" ref="Q97">IFERROR(INDEX('Portfolio 3_2'!$O$3:$AK$101,'Portfolio 3_2'!$AP97,15),"")</f>
        <v/>
      </c>
      <c r="R97" s="82" t="str" cm="1">
        <f t="array" ref="R97">IFERROR(TEXT(INDEX('Portfolio 3_2'!$O$3:$AK$101,'Portfolio 3_2'!$AP97,16),"dd/mm/yyyy"),"")</f>
        <v/>
      </c>
      <c r="S97" s="82" t="str" cm="1">
        <f t="array" ref="S97">IFERROR(INDEX('Portfolio 3_2'!$O$3:$AK$101,'Portfolio 3_2'!$AP97,20),"")</f>
        <v/>
      </c>
      <c r="T97" s="82" t="str" cm="1">
        <f t="array" ref="T97">IFERROR(INDEX('Portfolio 3_2'!$O$3:$AK$101,'Portfolio 3_2'!$AP97,17),"")</f>
        <v/>
      </c>
      <c r="U97" s="83" t="str" cm="1">
        <f t="array" ref="U97">IFERROR(INDEX('Portfolio 3_2'!$O$3:$AK$101,'Portfolio 3_2'!$AP97,18),"")</f>
        <v/>
      </c>
      <c r="V97" s="83" t="str" cm="1">
        <f t="array" ref="V97">IFERROR(INDEX('Portfolio 3_2'!$O$3:$AK$101,'Portfolio 3_2'!$AP97,19),"")</f>
        <v/>
      </c>
      <c r="W97" s="1" t="str">
        <f t="shared" si="5"/>
        <v/>
      </c>
    </row>
    <row r="98" spans="1:23">
      <c r="A98" s="92" t="str">
        <f t="shared" si="4"/>
        <v/>
      </c>
      <c r="B98" s="82" t="str" cm="1">
        <f t="array" ref="B98">IFERROR(INDEX('Portfolio 3_2'!$O$3:$AK$101,'Portfolio 3_2'!$AP98,2),"")</f>
        <v/>
      </c>
      <c r="C98" s="82" t="str" cm="1">
        <f t="array" ref="C98">IFERROR(SUBSTITUTE(INDEX('Portfolio 3_2'!$O$3:$AK$101,'Portfolio 3_2'!$AP98,23),"น.ส.","นางสาว"),"")</f>
        <v/>
      </c>
      <c r="D98" s="82" t="str" cm="1">
        <f t="array" ref="D98">IFERROR(INDEX('Portfolio 3_2'!$O$3:$AK$101,'Portfolio 3_2'!$AP98,21),"")</f>
        <v/>
      </c>
      <c r="E98" s="82" t="str" cm="1">
        <f t="array" ref="E98">IFERROR(INDEX('Portfolio 3_2'!$O$3:$AK$101,'Portfolio 3_2'!$AP98,22),"")</f>
        <v/>
      </c>
      <c r="F98" s="82" t="str" cm="1">
        <f t="array" ref="F98">IFERROR(SUBSTITUTE(INDEX('Portfolio 3_2'!$O$3:$AK$101,'Portfolio 3_2'!$AP98,4),"+"," "),"")</f>
        <v/>
      </c>
      <c r="G98" s="82" t="str" cm="1">
        <f t="array" ref="G98">IFERROR(SUBSTITUTE(INDEX('Portfolio 3_2'!$O$3:$AK$101,'Portfolio 3_2'!$AP98,5),"+"," "),"")</f>
        <v/>
      </c>
      <c r="H98" s="82" t="str" cm="1">
        <f t="array" ref="H98">IFERROR(SUBSTITUTE(INDEX('Portfolio 3_2'!$O$3:$AK$101,'Portfolio 3_2'!$AP98,6),"+"," "),"")</f>
        <v/>
      </c>
      <c r="I98" s="82" t="str" cm="1">
        <f t="array" ref="I98">IFERROR(INDEX('Portfolio 3_2'!$O$3:$AK$101,'Portfolio 3_2'!$AP98,7),"")</f>
        <v/>
      </c>
      <c r="J98" s="82" t="str" cm="1">
        <f t="array" ref="J98">IFERROR(INDEX('Portfolio 3_2'!$O$3:$AK$101,'Portfolio 3_2'!$AP98,8),"")</f>
        <v/>
      </c>
      <c r="K98" s="82" t="str" cm="1">
        <f t="array" ref="K98">IFERROR(SUBSTITUTE(INDEX('Portfolio 3_2'!$O$3:$AK$101,'Portfolio 3_2'!$AP98,9),"+"," "),"")</f>
        <v/>
      </c>
      <c r="L98" s="82" t="str" cm="1">
        <f t="array" ref="L98">IFERROR(SUBSTITUTE(INDEX('Portfolio 3_2'!$O$3:$AK$101,'Portfolio 3_2'!$AP98,12),"+"," "),"")</f>
        <v/>
      </c>
      <c r="M98" s="82" t="str" cm="1">
        <f t="array" ref="M98">IFERROR(SUBSTITUTE(INDEX('Portfolio 3_2'!$O$3:$AK$101,'Portfolio 3_2'!$AP98,10),"+"," "),"")</f>
        <v/>
      </c>
      <c r="N98" s="82" t="str" cm="1">
        <f t="array" ref="N98">IFERROR(SUBSTITUTE(INDEX('Portfolio 3_2'!$O$3:$AK$101,'Portfolio 3_2'!$AP98,11),"+"," "),"")</f>
        <v/>
      </c>
      <c r="O98" s="82" t="str" cm="1">
        <f t="array" ref="O98">IFERROR(SUBSTITUTE(INDEX('Portfolio 3_2'!$O$3:$AK$101,'Portfolio 3_2'!$AP98,13),"+"," "),"")</f>
        <v/>
      </c>
      <c r="P98" s="82" t="str" cm="1">
        <f t="array" ref="P98">IFERROR(IF(ISNUMBER(FIND("กรุงเทพ",INDEX('Portfolio 3_2'!$O$3:$AK$101,'Portfolio 3_2'!$AP98,14))),"กรุงเทพมหานคร",INDEX('Portfolio 3_2'!$O$3:$AK$101,'Portfolio 3_2'!$AP98,14)),"")</f>
        <v/>
      </c>
      <c r="Q98" s="82" t="str" cm="1">
        <f t="array" ref="Q98">IFERROR(INDEX('Portfolio 3_2'!$O$3:$AK$101,'Portfolio 3_2'!$AP98,15),"")</f>
        <v/>
      </c>
      <c r="R98" s="82" t="str" cm="1">
        <f t="array" ref="R98">IFERROR(TEXT(INDEX('Portfolio 3_2'!$O$3:$AK$101,'Portfolio 3_2'!$AP98,16),"dd/mm/yyyy"),"")</f>
        <v/>
      </c>
      <c r="S98" s="82" t="str" cm="1">
        <f t="array" ref="S98">IFERROR(INDEX('Portfolio 3_2'!$O$3:$AK$101,'Portfolio 3_2'!$AP98,20),"")</f>
        <v/>
      </c>
      <c r="T98" s="82" t="str" cm="1">
        <f t="array" ref="T98">IFERROR(INDEX('Portfolio 3_2'!$O$3:$AK$101,'Portfolio 3_2'!$AP98,17),"")</f>
        <v/>
      </c>
      <c r="U98" s="83" t="str" cm="1">
        <f t="array" ref="U98">IFERROR(INDEX('Portfolio 3_2'!$O$3:$AK$101,'Portfolio 3_2'!$AP98,18),"")</f>
        <v/>
      </c>
      <c r="V98" s="83" t="str" cm="1">
        <f t="array" ref="V98">IFERROR(INDEX('Portfolio 3_2'!$O$3:$AK$101,'Portfolio 3_2'!$AP98,19),"")</f>
        <v/>
      </c>
      <c r="W98" s="1" t="str">
        <f t="shared" si="5"/>
        <v/>
      </c>
    </row>
    <row r="99" spans="1:23">
      <c r="A99" s="92" t="str">
        <f t="shared" si="4"/>
        <v/>
      </c>
      <c r="B99" s="82" t="str" cm="1">
        <f t="array" ref="B99">IFERROR(INDEX('Portfolio 3_2'!$O$3:$AK$101,'Portfolio 3_2'!$AP99,2),"")</f>
        <v/>
      </c>
      <c r="C99" s="82" t="str" cm="1">
        <f t="array" ref="C99">IFERROR(SUBSTITUTE(INDEX('Portfolio 3_2'!$O$3:$AK$101,'Portfolio 3_2'!$AP99,23),"น.ส.","นางสาว"),"")</f>
        <v/>
      </c>
      <c r="D99" s="82" t="str" cm="1">
        <f t="array" ref="D99">IFERROR(INDEX('Portfolio 3_2'!$O$3:$AK$101,'Portfolio 3_2'!$AP99,21),"")</f>
        <v/>
      </c>
      <c r="E99" s="82" t="str" cm="1">
        <f t="array" ref="E99">IFERROR(INDEX('Portfolio 3_2'!$O$3:$AK$101,'Portfolio 3_2'!$AP99,22),"")</f>
        <v/>
      </c>
      <c r="F99" s="82" t="str" cm="1">
        <f t="array" ref="F99">IFERROR(SUBSTITUTE(INDEX('Portfolio 3_2'!$O$3:$AK$101,'Portfolio 3_2'!$AP99,4),"+"," "),"")</f>
        <v/>
      </c>
      <c r="G99" s="82" t="str" cm="1">
        <f t="array" ref="G99">IFERROR(SUBSTITUTE(INDEX('Portfolio 3_2'!$O$3:$AK$101,'Portfolio 3_2'!$AP99,5),"+"," "),"")</f>
        <v/>
      </c>
      <c r="H99" s="82" t="str" cm="1">
        <f t="array" ref="H99">IFERROR(SUBSTITUTE(INDEX('Portfolio 3_2'!$O$3:$AK$101,'Portfolio 3_2'!$AP99,6),"+"," "),"")</f>
        <v/>
      </c>
      <c r="I99" s="82" t="str" cm="1">
        <f t="array" ref="I99">IFERROR(INDEX('Portfolio 3_2'!$O$3:$AK$101,'Portfolio 3_2'!$AP99,7),"")</f>
        <v/>
      </c>
      <c r="J99" s="82" t="str" cm="1">
        <f t="array" ref="J99">IFERROR(INDEX('Portfolio 3_2'!$O$3:$AK$101,'Portfolio 3_2'!$AP99,8),"")</f>
        <v/>
      </c>
      <c r="K99" s="82" t="str" cm="1">
        <f t="array" ref="K99">IFERROR(SUBSTITUTE(INDEX('Portfolio 3_2'!$O$3:$AK$101,'Portfolio 3_2'!$AP99,9),"+"," "),"")</f>
        <v/>
      </c>
      <c r="L99" s="82" t="str" cm="1">
        <f t="array" ref="L99">IFERROR(SUBSTITUTE(INDEX('Portfolio 3_2'!$O$3:$AK$101,'Portfolio 3_2'!$AP99,12),"+"," "),"")</f>
        <v/>
      </c>
      <c r="M99" s="82" t="str" cm="1">
        <f t="array" ref="M99">IFERROR(SUBSTITUTE(INDEX('Portfolio 3_2'!$O$3:$AK$101,'Portfolio 3_2'!$AP99,10),"+"," "),"")</f>
        <v/>
      </c>
      <c r="N99" s="82" t="str" cm="1">
        <f t="array" ref="N99">IFERROR(SUBSTITUTE(INDEX('Portfolio 3_2'!$O$3:$AK$101,'Portfolio 3_2'!$AP99,11),"+"," "),"")</f>
        <v/>
      </c>
      <c r="O99" s="82" t="str" cm="1">
        <f t="array" ref="O99">IFERROR(SUBSTITUTE(INDEX('Portfolio 3_2'!$O$3:$AK$101,'Portfolio 3_2'!$AP99,13),"+"," "),"")</f>
        <v/>
      </c>
      <c r="P99" s="82" t="str" cm="1">
        <f t="array" ref="P99">IFERROR(IF(ISNUMBER(FIND("กรุงเทพ",INDEX('Portfolio 3_2'!$O$3:$AK$101,'Portfolio 3_2'!$AP99,14))),"กรุงเทพมหานคร",INDEX('Portfolio 3_2'!$O$3:$AK$101,'Portfolio 3_2'!$AP99,14)),"")</f>
        <v/>
      </c>
      <c r="Q99" s="82" t="str" cm="1">
        <f t="array" ref="Q99">IFERROR(INDEX('Portfolio 3_2'!$O$3:$AK$101,'Portfolio 3_2'!$AP99,15),"")</f>
        <v/>
      </c>
      <c r="R99" s="82" t="str" cm="1">
        <f t="array" ref="R99">IFERROR(TEXT(INDEX('Portfolio 3_2'!$O$3:$AK$101,'Portfolio 3_2'!$AP99,16),"dd/mm/yyyy"),"")</f>
        <v/>
      </c>
      <c r="S99" s="82" t="str" cm="1">
        <f t="array" ref="S99">IFERROR(INDEX('Portfolio 3_2'!$O$3:$AK$101,'Portfolio 3_2'!$AP99,20),"")</f>
        <v/>
      </c>
      <c r="T99" s="82" t="str" cm="1">
        <f t="array" ref="T99">IFERROR(INDEX('Portfolio 3_2'!$O$3:$AK$101,'Portfolio 3_2'!$AP99,17),"")</f>
        <v/>
      </c>
      <c r="U99" s="83" t="str" cm="1">
        <f t="array" ref="U99">IFERROR(INDEX('Portfolio 3_2'!$O$3:$AK$101,'Portfolio 3_2'!$AP99,18),"")</f>
        <v/>
      </c>
      <c r="V99" s="83" t="str" cm="1">
        <f t="array" ref="V99">IFERROR(INDEX('Portfolio 3_2'!$O$3:$AK$101,'Portfolio 3_2'!$AP99,19),"")</f>
        <v/>
      </c>
      <c r="W99" s="1" t="str">
        <f t="shared" si="5"/>
        <v/>
      </c>
    </row>
    <row r="100" spans="1:23">
      <c r="A100" s="92" t="str">
        <f t="shared" si="4"/>
        <v/>
      </c>
      <c r="B100" s="82" t="str" cm="1">
        <f t="array" ref="B100">IFERROR(INDEX('Portfolio 3_2'!$O$3:$AK$101,'Portfolio 3_2'!$AP100,2),"")</f>
        <v/>
      </c>
      <c r="C100" s="82" t="str" cm="1">
        <f t="array" ref="C100">IFERROR(SUBSTITUTE(INDEX('Portfolio 3_2'!$O$3:$AK$101,'Portfolio 3_2'!$AP100,23),"น.ส.","นางสาว"),"")</f>
        <v/>
      </c>
      <c r="D100" s="82" t="str" cm="1">
        <f t="array" ref="D100">IFERROR(INDEX('Portfolio 3_2'!$O$3:$AK$101,'Portfolio 3_2'!$AP100,21),"")</f>
        <v/>
      </c>
      <c r="E100" s="82" t="str" cm="1">
        <f t="array" ref="E100">IFERROR(INDEX('Portfolio 3_2'!$O$3:$AK$101,'Portfolio 3_2'!$AP100,22),"")</f>
        <v/>
      </c>
      <c r="F100" s="82" t="str" cm="1">
        <f t="array" ref="F100">IFERROR(SUBSTITUTE(INDEX('Portfolio 3_2'!$O$3:$AK$101,'Portfolio 3_2'!$AP100,4),"+"," "),"")</f>
        <v/>
      </c>
      <c r="G100" s="82" t="str" cm="1">
        <f t="array" ref="G100">IFERROR(SUBSTITUTE(INDEX('Portfolio 3_2'!$O$3:$AK$101,'Portfolio 3_2'!$AP100,5),"+"," "),"")</f>
        <v/>
      </c>
      <c r="H100" s="82" t="str" cm="1">
        <f t="array" ref="H100">IFERROR(SUBSTITUTE(INDEX('Portfolio 3_2'!$O$3:$AK$101,'Portfolio 3_2'!$AP100,6),"+"," "),"")</f>
        <v/>
      </c>
      <c r="I100" s="82" t="str" cm="1">
        <f t="array" ref="I100">IFERROR(INDEX('Portfolio 3_2'!$O$3:$AK$101,'Portfolio 3_2'!$AP100,7),"")</f>
        <v/>
      </c>
      <c r="J100" s="82" t="str" cm="1">
        <f t="array" ref="J100">IFERROR(INDEX('Portfolio 3_2'!$O$3:$AK$101,'Portfolio 3_2'!$AP100,8),"")</f>
        <v/>
      </c>
      <c r="K100" s="82" t="str" cm="1">
        <f t="array" ref="K100">IFERROR(SUBSTITUTE(INDEX('Portfolio 3_2'!$O$3:$AK$101,'Portfolio 3_2'!$AP100,9),"+"," "),"")</f>
        <v/>
      </c>
      <c r="L100" s="82" t="str" cm="1">
        <f t="array" ref="L100">IFERROR(SUBSTITUTE(INDEX('Portfolio 3_2'!$O$3:$AK$101,'Portfolio 3_2'!$AP100,12),"+"," "),"")</f>
        <v/>
      </c>
      <c r="M100" s="82" t="str" cm="1">
        <f t="array" ref="M100">IFERROR(SUBSTITUTE(INDEX('Portfolio 3_2'!$O$3:$AK$101,'Portfolio 3_2'!$AP100,10),"+"," "),"")</f>
        <v/>
      </c>
      <c r="N100" s="82" t="str" cm="1">
        <f t="array" ref="N100">IFERROR(SUBSTITUTE(INDEX('Portfolio 3_2'!$O$3:$AK$101,'Portfolio 3_2'!$AP100,11),"+"," "),"")</f>
        <v/>
      </c>
      <c r="O100" s="82" t="str" cm="1">
        <f t="array" ref="O100">IFERROR(SUBSTITUTE(INDEX('Portfolio 3_2'!$O$3:$AK$101,'Portfolio 3_2'!$AP100,13),"+"," "),"")</f>
        <v/>
      </c>
      <c r="P100" s="82" t="str" cm="1">
        <f t="array" ref="P100">IFERROR(IF(ISNUMBER(FIND("กรุงเทพ",INDEX('Portfolio 3_2'!$O$3:$AK$101,'Portfolio 3_2'!$AP100,14))),"กรุงเทพมหานคร",INDEX('Portfolio 3_2'!$O$3:$AK$101,'Portfolio 3_2'!$AP100,14)),"")</f>
        <v/>
      </c>
      <c r="Q100" s="82" t="str" cm="1">
        <f t="array" ref="Q100">IFERROR(INDEX('Portfolio 3_2'!$O$3:$AK$101,'Portfolio 3_2'!$AP100,15),"")</f>
        <v/>
      </c>
      <c r="R100" s="82" t="str" cm="1">
        <f t="array" ref="R100">IFERROR(TEXT(INDEX('Portfolio 3_2'!$O$3:$AK$101,'Portfolio 3_2'!$AP100,16),"dd/mm/yyyy"),"")</f>
        <v/>
      </c>
      <c r="S100" s="82" t="str" cm="1">
        <f t="array" ref="S100">IFERROR(INDEX('Portfolio 3_2'!$O$3:$AK$101,'Portfolio 3_2'!$AP100,20),"")</f>
        <v/>
      </c>
      <c r="T100" s="82" t="str" cm="1">
        <f t="array" ref="T100">IFERROR(INDEX('Portfolio 3_2'!$O$3:$AK$101,'Portfolio 3_2'!$AP100,17),"")</f>
        <v/>
      </c>
      <c r="U100" s="83" t="str" cm="1">
        <f t="array" ref="U100">IFERROR(INDEX('Portfolio 3_2'!$O$3:$AK$101,'Portfolio 3_2'!$AP100,18),"")</f>
        <v/>
      </c>
      <c r="V100" s="83" t="str" cm="1">
        <f t="array" ref="V100">IFERROR(INDEX('Portfolio 3_2'!$O$3:$AK$101,'Portfolio 3_2'!$AP100,19),"")</f>
        <v/>
      </c>
      <c r="W100" s="1" t="str">
        <f t="shared" si="5"/>
        <v/>
      </c>
    </row>
    <row r="101" spans="1:23">
      <c r="A101" s="92" t="str">
        <f t="shared" si="4"/>
        <v/>
      </c>
      <c r="B101" s="82" t="str" cm="1">
        <f t="array" ref="B101">IFERROR(INDEX('Portfolio 3_2'!$O$3:$AK$101,'Portfolio 3_2'!$AP101,2),"")</f>
        <v/>
      </c>
      <c r="C101" s="82" t="str" cm="1">
        <f t="array" ref="C101">IFERROR(SUBSTITUTE(INDEX('Portfolio 3_2'!$O$3:$AK$101,'Portfolio 3_2'!$AP101,23),"น.ส.","นางสาว"),"")</f>
        <v/>
      </c>
      <c r="D101" s="82" t="str" cm="1">
        <f t="array" ref="D101">IFERROR(INDEX('Portfolio 3_2'!$O$3:$AK$101,'Portfolio 3_2'!$AP101,21),"")</f>
        <v/>
      </c>
      <c r="E101" s="82" t="str" cm="1">
        <f t="array" ref="E101">IFERROR(INDEX('Portfolio 3_2'!$O$3:$AK$101,'Portfolio 3_2'!$AP101,22),"")</f>
        <v/>
      </c>
      <c r="F101" s="82" t="str" cm="1">
        <f t="array" ref="F101">IFERROR(SUBSTITUTE(INDEX('Portfolio 3_2'!$O$3:$AK$101,'Portfolio 3_2'!$AP101,4),"+"," "),"")</f>
        <v/>
      </c>
      <c r="G101" s="82" t="str" cm="1">
        <f t="array" ref="G101">IFERROR(SUBSTITUTE(INDEX('Portfolio 3_2'!$O$3:$AK$101,'Portfolio 3_2'!$AP101,5),"+"," "),"")</f>
        <v/>
      </c>
      <c r="H101" s="82" t="str" cm="1">
        <f t="array" ref="H101">IFERROR(SUBSTITUTE(INDEX('Portfolio 3_2'!$O$3:$AK$101,'Portfolio 3_2'!$AP101,6),"+"," "),"")</f>
        <v/>
      </c>
      <c r="I101" s="82" t="str" cm="1">
        <f t="array" ref="I101">IFERROR(INDEX('Portfolio 3_2'!$O$3:$AK$101,'Portfolio 3_2'!$AP101,7),"")</f>
        <v/>
      </c>
      <c r="J101" s="82" t="str" cm="1">
        <f t="array" ref="J101">IFERROR(INDEX('Portfolio 3_2'!$O$3:$AK$101,'Portfolio 3_2'!$AP101,8),"")</f>
        <v/>
      </c>
      <c r="K101" s="82" t="str" cm="1">
        <f t="array" ref="K101">IFERROR(SUBSTITUTE(INDEX('Portfolio 3_2'!$O$3:$AK$101,'Portfolio 3_2'!$AP101,9),"+"," "),"")</f>
        <v/>
      </c>
      <c r="L101" s="82" t="str" cm="1">
        <f t="array" ref="L101">IFERROR(SUBSTITUTE(INDEX('Portfolio 3_2'!$O$3:$AK$101,'Portfolio 3_2'!$AP101,12),"+"," "),"")</f>
        <v/>
      </c>
      <c r="M101" s="82" t="str" cm="1">
        <f t="array" ref="M101">IFERROR(SUBSTITUTE(INDEX('Portfolio 3_2'!$O$3:$AK$101,'Portfolio 3_2'!$AP101,10),"+"," "),"")</f>
        <v/>
      </c>
      <c r="N101" s="82" t="str" cm="1">
        <f t="array" ref="N101">IFERROR(SUBSTITUTE(INDEX('Portfolio 3_2'!$O$3:$AK$101,'Portfolio 3_2'!$AP101,11),"+"," "),"")</f>
        <v/>
      </c>
      <c r="O101" s="82" t="str" cm="1">
        <f t="array" ref="O101">IFERROR(SUBSTITUTE(INDEX('Portfolio 3_2'!$O$3:$AK$101,'Portfolio 3_2'!$AP101,13),"+"," "),"")</f>
        <v/>
      </c>
      <c r="P101" s="82" t="str" cm="1">
        <f t="array" ref="P101">IFERROR(IF(ISNUMBER(FIND("กรุงเทพ",INDEX('Portfolio 3_2'!$O$3:$AK$101,'Portfolio 3_2'!$AP101,14))),"กรุงเทพมหานคร",INDEX('Portfolio 3_2'!$O$3:$AK$101,'Portfolio 3_2'!$AP101,14)),"")</f>
        <v/>
      </c>
      <c r="Q101" s="82" t="str" cm="1">
        <f t="array" ref="Q101">IFERROR(INDEX('Portfolio 3_2'!$O$3:$AK$101,'Portfolio 3_2'!$AP101,15),"")</f>
        <v/>
      </c>
      <c r="R101" s="82" t="str" cm="1">
        <f t="array" ref="R101">IFERROR(TEXT(INDEX('Portfolio 3_2'!$O$3:$AK$101,'Portfolio 3_2'!$AP101,16),"dd/mm/yyyy"),"")</f>
        <v/>
      </c>
      <c r="S101" s="82" t="str" cm="1">
        <f t="array" ref="S101">IFERROR(INDEX('Portfolio 3_2'!$O$3:$AK$101,'Portfolio 3_2'!$AP101,20),"")</f>
        <v/>
      </c>
      <c r="T101" s="82" t="str" cm="1">
        <f t="array" ref="T101">IFERROR(INDEX('Portfolio 3_2'!$O$3:$AK$101,'Portfolio 3_2'!$AP101,17),"")</f>
        <v/>
      </c>
      <c r="U101" s="83" t="str" cm="1">
        <f t="array" ref="U101">IFERROR(INDEX('Portfolio 3_2'!$O$3:$AK$101,'Portfolio 3_2'!$AP101,18),"")</f>
        <v/>
      </c>
      <c r="V101" s="83" t="str" cm="1">
        <f t="array" ref="V101">IFERROR(INDEX('Portfolio 3_2'!$O$3:$AK$101,'Portfolio 3_2'!$AP101,19),"")</f>
        <v/>
      </c>
      <c r="W101" s="1" t="str">
        <f t="shared" si="5"/>
        <v/>
      </c>
    </row>
    <row r="104" spans="1:23" ht="29.25" customHeight="1">
      <c r="A104" s="98">
        <v>53</v>
      </c>
      <c r="C104" s="99" t="s">
        <v>161</v>
      </c>
    </row>
    <row r="105" spans="1:23" ht="15.75">
      <c r="A105" s="91" t="s">
        <v>151</v>
      </c>
      <c r="B105" s="91" t="s">
        <v>4</v>
      </c>
      <c r="C105" s="91" t="s">
        <v>154</v>
      </c>
      <c r="D105" s="91" t="str">
        <f>IFERROR(IF(B105&lt;&gt;"",IF(ISNUMBER(FIND("partnership",LOWER(E105))),"หจก.","บจก."),""),"")</f>
        <v>บจก.</v>
      </c>
      <c r="E105" s="91" t="s">
        <v>155</v>
      </c>
      <c r="F105" s="91" t="s">
        <v>125</v>
      </c>
      <c r="G105" s="91" t="s">
        <v>144</v>
      </c>
      <c r="H105" s="91" t="s">
        <v>145</v>
      </c>
      <c r="I105" s="91" t="s">
        <v>127</v>
      </c>
      <c r="J105" s="91" t="s">
        <v>128</v>
      </c>
      <c r="K105" s="91" t="s">
        <v>129</v>
      </c>
      <c r="L105" s="91" t="s">
        <v>132</v>
      </c>
      <c r="M105" s="91" t="s">
        <v>130</v>
      </c>
      <c r="N105" s="91" t="s">
        <v>152</v>
      </c>
      <c r="O105" s="91" t="s">
        <v>153</v>
      </c>
      <c r="P105" s="91" t="s">
        <v>134</v>
      </c>
      <c r="Q105" s="91" t="s">
        <v>135</v>
      </c>
      <c r="R105" s="91" t="s">
        <v>136</v>
      </c>
      <c r="S105" s="91" t="s">
        <v>143</v>
      </c>
      <c r="T105" s="91" t="s">
        <v>137</v>
      </c>
      <c r="U105" s="91" t="s">
        <v>138</v>
      </c>
      <c r="V105" s="91" t="s">
        <v>139</v>
      </c>
      <c r="W105" s="91" t="s">
        <v>140</v>
      </c>
    </row>
    <row r="106" spans="1:23">
      <c r="A106" s="92">
        <f>IF(B106="","",1)</f>
        <v>1</v>
      </c>
      <c r="B106" s="82" t="str" cm="1">
        <f t="array" ref="B106">IFERROR(INDEX('Portfolio 3_2'!$O$3:$AK$101,'Portfolio 3_2'!$AO3,2),"")</f>
        <v>04500XXX09416</v>
      </c>
      <c r="C106" s="1" t="str">
        <f>IFERROR(IF(B106&lt;&gt;"","00000",""),"")</f>
        <v>00000</v>
      </c>
      <c r="D106" s="1" t="str">
        <f>IFERROR(IF(B106&lt;&gt;"",IF(ISNUMBER(FIND("partnership",LOWER(E106))),"หจก.","บจก."),""),"")</f>
        <v>บจก.</v>
      </c>
      <c r="E106" s="82" t="str" cm="1">
        <f t="array" ref="E106">IFERROR(INDEX('Portfolio 3_2'!$O$3:$AK$101,'Portfolio 3_2'!$AO3,3),"")</f>
        <v>ตัวอย่าง34</v>
      </c>
      <c r="F106" s="82" t="str" cm="1">
        <f t="array" ref="F106">IFERROR(INDEX('Portfolio 3_2'!$O$3:$AK$101,'Portfolio 3_2'!$AO3,4),"")</f>
        <v/>
      </c>
      <c r="G106" s="82" t="str" cm="1">
        <f t="array" ref="G106">IFERROR(INDEX('Portfolio 3_2'!$O$3:$AK$101,'Portfolio 3_2'!$AO3,5),"")</f>
        <v/>
      </c>
      <c r="H106" s="82" t="str" cm="1">
        <f t="array" ref="H106">IFERROR(INDEX('Portfolio 3_2'!$O$3:$AK$101,'Portfolio 3_2'!$AO3,6),"")</f>
        <v/>
      </c>
      <c r="I106" s="82" t="str" cm="1">
        <f t="array" ref="I106">IFERROR(INDEX('Portfolio 3_2'!$O$3:$AK$101,'Portfolio 3_2'!$AO3,7),"")</f>
        <v>5/2</v>
      </c>
      <c r="J106" s="82" t="str" cm="1">
        <f t="array" ref="J106">IFERROR(INDEX('Portfolio 3_2'!$O$3:$AK$101,'Portfolio 3_2'!$AO3,8),"")</f>
        <v>4</v>
      </c>
      <c r="K106" s="82" t="str" cm="1">
        <f t="array" ref="K106">IFERROR(INDEX('Portfolio 3_2'!$O$3:$AK$101,'Portfolio 3_2'!$AO3,9),"")</f>
        <v/>
      </c>
      <c r="L106" s="82" t="str" cm="1">
        <f t="array" ref="L106">IFERROR(INDEX('Portfolio 3_2'!$O$3:$AK$101,'Portfolio 3_2'!$AO3,12),"")</f>
        <v/>
      </c>
      <c r="M106" s="82" t="str" cm="1">
        <f t="array" ref="M106">IFERROR(INDEX('Portfolio 3_2'!$O$3:$AK$101,'Portfolio 3_2'!$AO3,10),"")</f>
        <v/>
      </c>
      <c r="N106" s="82" t="str" cm="1">
        <f t="array" ref="N106">IFERROR(INDEX('Portfolio 3_2'!$O$3:$AK$101,'Portfolio 3_2'!$AO3,11),"")</f>
        <v>พยุหะ</v>
      </c>
      <c r="O106" s="82" t="str" cm="1">
        <f t="array" ref="O106">IFERROR(INDEX('Portfolio 3_2'!$O$3:$AK$101,'Portfolio 3_2'!$AO3,13),"")</f>
        <v>พยุหะคีรี</v>
      </c>
      <c r="P106" s="82" t="str" cm="1">
        <f t="array" ref="P106">IFERROR(IF(ISNUMBER(FIND("กรุงเทพ",INDEX('Portfolio 3_2'!$O$3:$AK$101,'Portfolio 3_2'!$AO4,14))),"กรุงเทพมหานคร",INDEX('Portfolio 3_2'!$O$3:$AK$101,'Portfolio 3_2'!$AO3,14)),"")</f>
        <v>นครสวรรค์</v>
      </c>
      <c r="Q106" s="82" t="str" cm="1">
        <f t="array" ref="Q106">IFERROR(INDEX('Portfolio 3_2'!$O$3:$AK$101,'Portfolio 3_2'!$AO3,15),"")</f>
        <v>12345</v>
      </c>
      <c r="R106" s="82" t="str" cm="1">
        <f t="array" ref="R106">IFERROR(TEXT(INDEX('Portfolio 3_2'!$O$3:$AK$101,'Portfolio 3_2'!$AO3,16),"dd/mm/yyyy"),"")</f>
        <v>29/10/2563</v>
      </c>
      <c r="S106" s="82" t="str" cm="1">
        <f t="array" ref="S106">IFERROR(INDEX('Portfolio 3_2'!$O$3:$AK$101,'Portfolio 3_2'!$AO3,20),"")</f>
        <v>ค่าบริการ</v>
      </c>
      <c r="T106" s="82" cm="1">
        <f t="array" ref="T106">IFERROR(INDEX('Portfolio 3_2'!$O$3:$AK$101,'Portfolio 3_2'!$AO3,17),"")</f>
        <v>3</v>
      </c>
      <c r="U106" s="82" cm="1">
        <f t="array" ref="U106">IFERROR(INDEX('Portfolio 3_2'!$O$3:$AK$101,'Portfolio 3_2'!$AO3,18),"")</f>
        <v>29127</v>
      </c>
      <c r="V106" s="82" cm="1">
        <f t="array" ref="V106">IFERROR(INDEX('Portfolio 3_2'!$O$3:$AK$101,'Portfolio 3_2'!$AO3,19),"")</f>
        <v>873.81</v>
      </c>
      <c r="W106" s="1" t="str">
        <f>IFERROR(IF(B106&lt;&gt;"","1",""),"")</f>
        <v>1</v>
      </c>
    </row>
    <row r="107" spans="1:23">
      <c r="A107" s="92">
        <f t="shared" ref="A107:A138" si="6">IF(B107="","",A106+1)</f>
        <v>2</v>
      </c>
      <c r="B107" s="82" t="str" cm="1">
        <f t="array" ref="B107">IFERROR(INDEX('Portfolio 3_2'!$O$3:$AK$101,'Portfolio 3_2'!$AO4,2),"")</f>
        <v>05462XXX06239</v>
      </c>
      <c r="C107" s="1" t="str">
        <f t="shared" ref="C107:C170" si="7">IFERROR(IF(B107&lt;&gt;"","00000",""),"")</f>
        <v>00000</v>
      </c>
      <c r="D107" s="1" t="str">
        <f t="shared" ref="D107:D170" si="8">IFERROR(IF(B107&lt;&gt;"",IF(ISNUMBER(FIND("partnership",LOWER(E107))),"หจก.","บจก."),""),"")</f>
        <v>บจก.</v>
      </c>
      <c r="E107" s="82" t="str" cm="1">
        <f t="array" ref="E107">IFERROR(INDEX('Portfolio 3_2'!$O$3:$AK$101,'Portfolio 3_2'!$AO4,3),"")</f>
        <v>พิ่งเปิด94</v>
      </c>
      <c r="F107" s="82" t="str" cm="1">
        <f t="array" ref="F107">IFERROR(INDEX('Portfolio 3_2'!$O$3:$AK$101,'Portfolio 3_2'!$AO4,4),"")</f>
        <v/>
      </c>
      <c r="G107" s="82" t="str" cm="1">
        <f t="array" ref="G107">IFERROR(INDEX('Portfolio 3_2'!$O$3:$AK$101,'Portfolio 3_2'!$AO4,5),"")</f>
        <v/>
      </c>
      <c r="H107" s="82" t="str" cm="1">
        <f t="array" ref="H107">IFERROR(INDEX('Portfolio 3_2'!$O$3:$AK$101,'Portfolio 3_2'!$AO4,6),"")</f>
        <v/>
      </c>
      <c r="I107" s="82" t="str" cm="1">
        <f t="array" ref="I107">IFERROR(INDEX('Portfolio 3_2'!$O$3:$AK$101,'Portfolio 3_2'!$AO4,7),"")</f>
        <v>5055/5</v>
      </c>
      <c r="J107" s="82" t="str" cm="1">
        <f t="array" ref="J107">IFERROR(INDEX('Portfolio 3_2'!$O$3:$AK$101,'Portfolio 3_2'!$AO4,8),"")</f>
        <v/>
      </c>
      <c r="K107" s="82" t="str" cm="1">
        <f t="array" ref="K107">IFERROR(INDEX('Portfolio 3_2'!$O$3:$AK$101,'Portfolio 3_2'!$AO4,9),"")</f>
        <v/>
      </c>
      <c r="L107" s="82" t="str" cm="1">
        <f t="array" ref="L107">IFERROR(INDEX('Portfolio 3_2'!$O$3:$AK$101,'Portfolio 3_2'!$AO4,12),"")</f>
        <v/>
      </c>
      <c r="M107" s="82" t="str" cm="1">
        <f t="array" ref="M107">IFERROR(INDEX('Portfolio 3_2'!$O$3:$AK$101,'Portfolio 3_2'!$AO4,10),"")</f>
        <v>พหลโยธิน</v>
      </c>
      <c r="N107" s="82" t="str" cm="1">
        <f t="array" ref="N107">IFERROR(INDEX('Portfolio 3_2'!$O$3:$AK$101,'Portfolio 3_2'!$AO4,11),"")</f>
        <v>เวียง</v>
      </c>
      <c r="O107" s="82" t="str" cm="1">
        <f t="array" ref="O107">IFERROR(INDEX('Portfolio 3_2'!$O$3:$AK$101,'Portfolio 3_2'!$AO4,13),"")</f>
        <v>เมือง</v>
      </c>
      <c r="P107" s="82" t="str" cm="1">
        <f t="array" ref="P107">IFERROR(IF(ISNUMBER(FIND("กรุงเทพ",INDEX('Portfolio 3_2'!$O$3:$AK$101,'Portfolio 3_2'!$AO5,14))),"กรุงเทพมหานคร",INDEX('Portfolio 3_2'!$O$3:$AK$101,'Portfolio 3_2'!$AO4,14)),"")</f>
        <v>พะเยา</v>
      </c>
      <c r="Q107" s="82" t="str" cm="1">
        <f t="array" ref="Q107">IFERROR(INDEX('Portfolio 3_2'!$O$3:$AK$101,'Portfolio 3_2'!$AO4,15),"")</f>
        <v>12345</v>
      </c>
      <c r="R107" s="82" t="str" cm="1">
        <f t="array" ref="R107">IFERROR(TEXT(INDEX('Portfolio 3_2'!$O$3:$AK$101,'Portfolio 3_2'!$AO4,16),"dd/mm/yyyy"),"")</f>
        <v>13/12/2563</v>
      </c>
      <c r="S107" s="82" t="str" cm="1">
        <f t="array" ref="S107">IFERROR(INDEX('Portfolio 3_2'!$O$3:$AK$101,'Portfolio 3_2'!$AO4,20),"")</f>
        <v>ค่าบริการ</v>
      </c>
      <c r="T107" s="82" cm="1">
        <f t="array" ref="T107">IFERROR(INDEX('Portfolio 3_2'!$O$3:$AK$101,'Portfolio 3_2'!$AO4,17),"")</f>
        <v>3</v>
      </c>
      <c r="U107" s="82" cm="1">
        <f t="array" ref="U107">IFERROR(INDEX('Portfolio 3_2'!$O$3:$AK$101,'Portfolio 3_2'!$AO4,18),"")</f>
        <v>17661</v>
      </c>
      <c r="V107" s="82" cm="1">
        <f t="array" ref="V107">IFERROR(INDEX('Portfolio 3_2'!$O$3:$AK$101,'Portfolio 3_2'!$AO4,19),"")</f>
        <v>529.82999999999993</v>
      </c>
      <c r="W107" s="1" t="str">
        <f t="shared" ref="W107:W170" si="9">IFERROR(IF(B107&lt;&gt;"","1",""),"")</f>
        <v>1</v>
      </c>
    </row>
    <row r="108" spans="1:23">
      <c r="A108" s="92">
        <f t="shared" si="6"/>
        <v>3</v>
      </c>
      <c r="B108" s="82" t="str" cm="1">
        <f t="array" ref="B108">IFERROR(INDEX('Portfolio 3_2'!$O$3:$AK$101,'Portfolio 3_2'!$AO5,2),"")</f>
        <v>09421XXX10141</v>
      </c>
      <c r="C108" s="1" t="str">
        <f t="shared" si="7"/>
        <v>00000</v>
      </c>
      <c r="D108" s="1" t="str">
        <f t="shared" si="8"/>
        <v>บจก.</v>
      </c>
      <c r="E108" s="82" t="str" cm="1">
        <f t="array" ref="E108">IFERROR(INDEX('Portfolio 3_2'!$O$3:$AK$101,'Portfolio 3_2'!$AO5,3),"")</f>
        <v>ซื้อแล้วรวย56</v>
      </c>
      <c r="F108" s="82" t="str" cm="1">
        <f t="array" ref="F108">IFERROR(INDEX('Portfolio 3_2'!$O$3:$AK$101,'Portfolio 3_2'!$AO5,4),"")</f>
        <v/>
      </c>
      <c r="G108" s="82" t="str" cm="1">
        <f t="array" ref="G108">IFERROR(INDEX('Portfolio 3_2'!$O$3:$AK$101,'Portfolio 3_2'!$AO5,5),"")</f>
        <v/>
      </c>
      <c r="H108" s="82" t="str" cm="1">
        <f t="array" ref="H108">IFERROR(INDEX('Portfolio 3_2'!$O$3:$AK$101,'Portfolio 3_2'!$AO5,6),"")</f>
        <v/>
      </c>
      <c r="I108" s="82" t="str" cm="1">
        <f t="array" ref="I108">IFERROR(INDEX('Portfolio 3_2'!$O$3:$AK$101,'Portfolio 3_2'!$AO5,7),"")</f>
        <v>502/9</v>
      </c>
      <c r="J108" s="82" t="str" cm="1">
        <f t="array" ref="J108">IFERROR(INDEX('Portfolio 3_2'!$O$3:$AK$101,'Portfolio 3_2'!$AO5,8),"")</f>
        <v>2</v>
      </c>
      <c r="K108" s="82" t="str" cm="1">
        <f t="array" ref="K108">IFERROR(INDEX('Portfolio 3_2'!$O$3:$AK$101,'Portfolio 3_2'!$AO5,9),"")</f>
        <v/>
      </c>
      <c r="L108" s="82" t="str" cm="1">
        <f t="array" ref="L108">IFERROR(INDEX('Portfolio 3_2'!$O$3:$AK$101,'Portfolio 3_2'!$AO5,12),"")</f>
        <v/>
      </c>
      <c r="M108" s="82" t="str" cm="1">
        <f t="array" ref="M108">IFERROR(INDEX('Portfolio 3_2'!$O$3:$AK$101,'Portfolio 3_2'!$AO5,10),"")</f>
        <v/>
      </c>
      <c r="N108" s="82" t="str" cm="1">
        <f t="array" ref="N108">IFERROR(INDEX('Portfolio 3_2'!$O$3:$AK$101,'Portfolio 3_2'!$AO5,11),"")</f>
        <v>ปากทาง</v>
      </c>
      <c r="O108" s="82" t="str" cm="1">
        <f t="array" ref="O108">IFERROR(INDEX('Portfolio 3_2'!$O$3:$AK$101,'Portfolio 3_2'!$AO5,13),"")</f>
        <v>เมือง</v>
      </c>
      <c r="P108" s="82" t="str" cm="1">
        <f t="array" ref="P108">IFERROR(IF(ISNUMBER(FIND("กรุงเทพ",INDEX('Portfolio 3_2'!$O$3:$AK$101,'Portfolio 3_2'!$AO6,14))),"กรุงเทพมหานคร",INDEX('Portfolio 3_2'!$O$3:$AK$101,'Portfolio 3_2'!$AO5,14)),"")</f>
        <v>พิจิตร</v>
      </c>
      <c r="Q108" s="82" t="str" cm="1">
        <f t="array" ref="Q108">IFERROR(INDEX('Portfolio 3_2'!$O$3:$AK$101,'Portfolio 3_2'!$AO5,15),"")</f>
        <v>12345</v>
      </c>
      <c r="R108" s="82" t="str" cm="1">
        <f t="array" ref="R108">IFERROR(TEXT(INDEX('Portfolio 3_2'!$O$3:$AK$101,'Portfolio 3_2'!$AO5,16),"dd/mm/yyyy"),"")</f>
        <v>20/01/2564</v>
      </c>
      <c r="S108" s="82" t="str" cm="1">
        <f t="array" ref="S108">IFERROR(INDEX('Portfolio 3_2'!$O$3:$AK$101,'Portfolio 3_2'!$AO5,20),"")</f>
        <v>ค่าบริการ</v>
      </c>
      <c r="T108" s="82" cm="1">
        <f t="array" ref="T108">IFERROR(INDEX('Portfolio 3_2'!$O$3:$AK$101,'Portfolio 3_2'!$AO5,17),"")</f>
        <v>3</v>
      </c>
      <c r="U108" s="82" cm="1">
        <f t="array" ref="U108">IFERROR(INDEX('Portfolio 3_2'!$O$3:$AK$101,'Portfolio 3_2'!$AO5,18),"")</f>
        <v>18432</v>
      </c>
      <c r="V108" s="82" cm="1">
        <f t="array" ref="V108">IFERROR(INDEX('Portfolio 3_2'!$O$3:$AK$101,'Portfolio 3_2'!$AO5,19),"")</f>
        <v>552.96</v>
      </c>
      <c r="W108" s="1" t="str">
        <f t="shared" si="9"/>
        <v>1</v>
      </c>
    </row>
    <row r="109" spans="1:23">
      <c r="A109" s="92">
        <f t="shared" si="6"/>
        <v>4</v>
      </c>
      <c r="B109" s="82" t="str" cm="1">
        <f t="array" ref="B109">IFERROR(INDEX('Portfolio 3_2'!$O$3:$AK$101,'Portfolio 3_2'!$AO6,2),"")</f>
        <v>01090XXX99101</v>
      </c>
      <c r="C109" s="1" t="str">
        <f t="shared" si="7"/>
        <v>00000</v>
      </c>
      <c r="D109" s="1" t="str">
        <f t="shared" si="8"/>
        <v>บจก.</v>
      </c>
      <c r="E109" s="82" t="str" cm="1">
        <f t="array" ref="E109">IFERROR(INDEX('Portfolio 3_2'!$O$3:$AK$101,'Portfolio 3_2'!$AO6,3),"")</f>
        <v>นายอยากจะรวยอาคมแรงแปดสิบเอ็ด</v>
      </c>
      <c r="F109" s="82" t="str" cm="1">
        <f t="array" ref="F109">IFERROR(INDEX('Portfolio 3_2'!$O$3:$AK$101,'Portfolio 3_2'!$AO6,4),"")</f>
        <v/>
      </c>
      <c r="G109" s="82" t="str" cm="1">
        <f t="array" ref="G109">IFERROR(INDEX('Portfolio 3_2'!$O$3:$AK$101,'Portfolio 3_2'!$AO6,5),"")</f>
        <v/>
      </c>
      <c r="H109" s="82" t="str" cm="1">
        <f t="array" ref="H109">IFERROR(INDEX('Portfolio 3_2'!$O$3:$AK$101,'Portfolio 3_2'!$AO6,6),"")</f>
        <v/>
      </c>
      <c r="I109" s="82" t="str" cm="1">
        <f t="array" ref="I109">IFERROR(INDEX('Portfolio 3_2'!$O$3:$AK$101,'Portfolio 3_2'!$AO6,7),"")</f>
        <v>508</v>
      </c>
      <c r="J109" s="82" t="str" cm="1">
        <f t="array" ref="J109">IFERROR(INDEX('Portfolio 3_2'!$O$3:$AK$101,'Portfolio 3_2'!$AO6,8),"")</f>
        <v>7</v>
      </c>
      <c r="K109" s="82" t="str" cm="1">
        <f t="array" ref="K109">IFERROR(INDEX('Portfolio 3_2'!$O$3:$AK$101,'Portfolio 3_2'!$AO6,9),"")</f>
        <v/>
      </c>
      <c r="L109" s="82" t="str" cm="1">
        <f t="array" ref="L109">IFERROR(INDEX('Portfolio 3_2'!$O$3:$AK$101,'Portfolio 3_2'!$AO6,12),"")</f>
        <v/>
      </c>
      <c r="M109" s="82" t="str" cm="1">
        <f t="array" ref="M109">IFERROR(INDEX('Portfolio 3_2'!$O$3:$AK$101,'Portfolio 3_2'!$AO6,10),"")</f>
        <v/>
      </c>
      <c r="N109" s="82" t="str" cm="1">
        <f t="array" ref="N109">IFERROR(INDEX('Portfolio 3_2'!$O$3:$AK$101,'Portfolio 3_2'!$AO6,11),"")</f>
        <v>กลางดง</v>
      </c>
      <c r="O109" s="82" t="str" cm="1">
        <f t="array" ref="O109">IFERROR(INDEX('Portfolio 3_2'!$O$3:$AK$101,'Portfolio 3_2'!$AO6,13),"")</f>
        <v>ทุ่งเสลี่ยม</v>
      </c>
      <c r="P109" s="82" t="str" cm="1">
        <f t="array" ref="P109">IFERROR(IF(ISNUMBER(FIND("กรุงเทพ",INDEX('Portfolio 3_2'!$O$3:$AK$101,'Portfolio 3_2'!$AO7,14))),"กรุงเทพมหานคร",INDEX('Portfolio 3_2'!$O$3:$AK$101,'Portfolio 3_2'!$AO6,14)),"")</f>
        <v>สุโขทัย</v>
      </c>
      <c r="Q109" s="82" t="str" cm="1">
        <f t="array" ref="Q109">IFERROR(INDEX('Portfolio 3_2'!$O$3:$AK$101,'Portfolio 3_2'!$AO6,15),"")</f>
        <v>12345</v>
      </c>
      <c r="R109" s="82" t="str" cm="1">
        <f t="array" ref="R109">IFERROR(TEXT(INDEX('Portfolio 3_2'!$O$3:$AK$101,'Portfolio 3_2'!$AO6,16),"dd/mm/yyyy"),"")</f>
        <v>14/05/2562</v>
      </c>
      <c r="S109" s="82" t="str" cm="1">
        <f t="array" ref="S109">IFERROR(INDEX('Portfolio 3_2'!$O$3:$AK$101,'Portfolio 3_2'!$AO6,20),"")</f>
        <v>ค่าบริการ</v>
      </c>
      <c r="T109" s="82" cm="1">
        <f t="array" ref="T109">IFERROR(INDEX('Portfolio 3_2'!$O$3:$AK$101,'Portfolio 3_2'!$AO6,17),"")</f>
        <v>3</v>
      </c>
      <c r="U109" s="82" cm="1">
        <f t="array" ref="U109">IFERROR(INDEX('Portfolio 3_2'!$O$3:$AK$101,'Portfolio 3_2'!$AO6,18),"")</f>
        <v>16581</v>
      </c>
      <c r="V109" s="82" cm="1">
        <f t="array" ref="V109">IFERROR(INDEX('Portfolio 3_2'!$O$3:$AK$101,'Portfolio 3_2'!$AO6,19),"")</f>
        <v>497.43</v>
      </c>
      <c r="W109" s="1" t="str">
        <f t="shared" si="9"/>
        <v>1</v>
      </c>
    </row>
    <row r="110" spans="1:23">
      <c r="A110" s="92">
        <f t="shared" si="6"/>
        <v>5</v>
      </c>
      <c r="B110" s="82" t="str" cm="1">
        <f t="array" ref="B110">IFERROR(INDEX('Portfolio 3_2'!$O$3:$AK$101,'Portfolio 3_2'!$AO7,2),"")</f>
        <v>01949XXX93691</v>
      </c>
      <c r="C110" s="1" t="str">
        <f t="shared" si="7"/>
        <v>00000</v>
      </c>
      <c r="D110" s="1" t="str">
        <f t="shared" si="8"/>
        <v>บจก.</v>
      </c>
      <c r="E110" s="82" t="str" cm="1">
        <f t="array" ref="E110">IFERROR(INDEX('Portfolio 3_2'!$O$3:$AK$101,'Portfolio 3_2'!$AO7,3),"")</f>
        <v>พิ่งเปิด12</v>
      </c>
      <c r="F110" s="82" t="str" cm="1">
        <f t="array" ref="F110">IFERROR(INDEX('Portfolio 3_2'!$O$3:$AK$101,'Portfolio 3_2'!$AO7,4),"")</f>
        <v/>
      </c>
      <c r="G110" s="82" t="str" cm="1">
        <f t="array" ref="G110">IFERROR(INDEX('Portfolio 3_2'!$O$3:$AK$101,'Portfolio 3_2'!$AO7,5),"")</f>
        <v/>
      </c>
      <c r="H110" s="82" t="str" cm="1">
        <f t="array" ref="H110">IFERROR(INDEX('Portfolio 3_2'!$O$3:$AK$101,'Portfolio 3_2'!$AO7,6),"")</f>
        <v/>
      </c>
      <c r="I110" s="82" t="str" cm="1">
        <f t="array" ref="I110">IFERROR(INDEX('Portfolio 3_2'!$O$3:$AK$101,'Portfolio 3_2'!$AO7,7),"")</f>
        <v>5520</v>
      </c>
      <c r="J110" s="82" t="str" cm="1">
        <f t="array" ref="J110">IFERROR(INDEX('Portfolio 3_2'!$O$3:$AK$101,'Portfolio 3_2'!$AO7,8),"")</f>
        <v>5</v>
      </c>
      <c r="K110" s="82" t="str" cm="1">
        <f t="array" ref="K110">IFERROR(INDEX('Portfolio 3_2'!$O$3:$AK$101,'Portfolio 3_2'!$AO7,9),"")</f>
        <v/>
      </c>
      <c r="L110" s="82" t="str" cm="1">
        <f t="array" ref="L110">IFERROR(INDEX('Portfolio 3_2'!$O$3:$AK$101,'Portfolio 3_2'!$AO7,12),"")</f>
        <v/>
      </c>
      <c r="M110" s="82" t="str" cm="1">
        <f t="array" ref="M110">IFERROR(INDEX('Portfolio 3_2'!$O$3:$AK$101,'Portfolio 3_2'!$AO7,10),"")</f>
        <v>ไกรสรสิทธิ์</v>
      </c>
      <c r="N110" s="82" t="str" cm="1">
        <f t="array" ref="N110">IFERROR(INDEX('Portfolio 3_2'!$O$3:$AK$101,'Portfolio 3_2'!$AO7,11),"")</f>
        <v>เวียง</v>
      </c>
      <c r="O110" s="82" t="str" cm="1">
        <f t="array" ref="O110">IFERROR(INDEX('Portfolio 3_2'!$O$3:$AK$101,'Portfolio 3_2'!$AO7,13),"")</f>
        <v>เมือง</v>
      </c>
      <c r="P110" s="82" t="str" cm="1">
        <f t="array" ref="P110">IFERROR(IF(ISNUMBER(FIND("กรุงเทพ",INDEX('Portfolio 3_2'!$O$3:$AK$101,'Portfolio 3_2'!$AO8,14))),"กรุงเทพมหานคร",INDEX('Portfolio 3_2'!$O$3:$AK$101,'Portfolio 3_2'!$AO7,14)),"")</f>
        <v>เชียงราย</v>
      </c>
      <c r="Q110" s="82" t="str" cm="1">
        <f t="array" ref="Q110">IFERROR(INDEX('Portfolio 3_2'!$O$3:$AK$101,'Portfolio 3_2'!$AO7,15),"")</f>
        <v>12345</v>
      </c>
      <c r="R110" s="82" t="str" cm="1">
        <f t="array" ref="R110">IFERROR(TEXT(INDEX('Portfolio 3_2'!$O$3:$AK$101,'Portfolio 3_2'!$AO7,16),"dd/mm/yyyy"),"")</f>
        <v>16/08/2562</v>
      </c>
      <c r="S110" s="82" t="str" cm="1">
        <f t="array" ref="S110">IFERROR(INDEX('Portfolio 3_2'!$O$3:$AK$101,'Portfolio 3_2'!$AO7,20),"")</f>
        <v>ค่าบริการ</v>
      </c>
      <c r="T110" s="82" cm="1">
        <f t="array" ref="T110">IFERROR(INDEX('Portfolio 3_2'!$O$3:$AK$101,'Portfolio 3_2'!$AO7,17),"")</f>
        <v>3</v>
      </c>
      <c r="U110" s="82" cm="1">
        <f t="array" ref="U110">IFERROR(INDEX('Portfolio 3_2'!$O$3:$AK$101,'Portfolio 3_2'!$AO7,18),"")</f>
        <v>15941</v>
      </c>
      <c r="V110" s="82" cm="1">
        <f t="array" ref="V110">IFERROR(INDEX('Portfolio 3_2'!$O$3:$AK$101,'Portfolio 3_2'!$AO7,19),"")</f>
        <v>478.22999999999996</v>
      </c>
      <c r="W110" s="1" t="str">
        <f t="shared" si="9"/>
        <v>1</v>
      </c>
    </row>
    <row r="111" spans="1:23">
      <c r="A111" s="92">
        <f t="shared" si="6"/>
        <v>6</v>
      </c>
      <c r="B111" s="82" t="str" cm="1">
        <f t="array" ref="B111">IFERROR(INDEX('Portfolio 3_2'!$O$3:$AK$101,'Portfolio 3_2'!$AO8,2),"")</f>
        <v>03808XXX55271</v>
      </c>
      <c r="C111" s="1" t="str">
        <f t="shared" si="7"/>
        <v>00000</v>
      </c>
      <c r="D111" s="1" t="str">
        <f t="shared" si="8"/>
        <v>บจก.</v>
      </c>
      <c r="E111" s="82" t="str" cm="1">
        <f t="array" ref="E111">IFERROR(INDEX('Portfolio 3_2'!$O$3:$AK$101,'Portfolio 3_2'!$AO8,3),"")</f>
        <v>พิ่งเปิด24</v>
      </c>
      <c r="F111" s="82" t="str" cm="1">
        <f t="array" ref="F111">IFERROR(INDEX('Portfolio 3_2'!$O$3:$AK$101,'Portfolio 3_2'!$AO8,4),"")</f>
        <v/>
      </c>
      <c r="G111" s="82" t="str" cm="1">
        <f t="array" ref="G111">IFERROR(INDEX('Portfolio 3_2'!$O$3:$AK$101,'Portfolio 3_2'!$AO8,5),"")</f>
        <v/>
      </c>
      <c r="H111" s="82" t="str" cm="1">
        <f t="array" ref="H111">IFERROR(INDEX('Portfolio 3_2'!$O$3:$AK$101,'Portfolio 3_2'!$AO8,6),"")</f>
        <v/>
      </c>
      <c r="I111" s="82" t="str" cm="1">
        <f t="array" ref="I111">IFERROR(INDEX('Portfolio 3_2'!$O$3:$AK$101,'Portfolio 3_2'!$AO8,7),"")</f>
        <v>555</v>
      </c>
      <c r="J111" s="82" t="str" cm="1">
        <f t="array" ref="J111">IFERROR(INDEX('Portfolio 3_2'!$O$3:$AK$101,'Portfolio 3_2'!$AO8,8),"")</f>
        <v>55</v>
      </c>
      <c r="K111" s="82" t="str" cm="1">
        <f t="array" ref="K111">IFERROR(INDEX('Portfolio 3_2'!$O$3:$AK$101,'Portfolio 3_2'!$AO8,9),"")</f>
        <v/>
      </c>
      <c r="L111" s="82" t="str" cm="1">
        <f t="array" ref="L111">IFERROR(INDEX('Portfolio 3_2'!$O$3:$AK$101,'Portfolio 3_2'!$AO8,12),"")</f>
        <v/>
      </c>
      <c r="M111" s="82" t="str" cm="1">
        <f t="array" ref="M111">IFERROR(INDEX('Portfolio 3_2'!$O$3:$AK$101,'Portfolio 3_2'!$AO8,10),"")</f>
        <v/>
      </c>
      <c r="N111" s="82" t="str" cm="1">
        <f t="array" ref="N111">IFERROR(INDEX('Portfolio 3_2'!$O$3:$AK$101,'Portfolio 3_2'!$AO8,11),"")</f>
        <v>สันนาเม็ง</v>
      </c>
      <c r="O111" s="82" t="str" cm="1">
        <f t="array" ref="O111">IFERROR(INDEX('Portfolio 3_2'!$O$3:$AK$101,'Portfolio 3_2'!$AO8,13),"")</f>
        <v>สันทราย</v>
      </c>
      <c r="P111" s="82" t="str" cm="1">
        <f t="array" ref="P111">IFERROR(IF(ISNUMBER(FIND("กรุงเทพ",INDEX('Portfolio 3_2'!$O$3:$AK$101,'Portfolio 3_2'!$AO9,14))),"กรุงเทพมหานคร",INDEX('Portfolio 3_2'!$O$3:$AK$101,'Portfolio 3_2'!$AO8,14)),"")</f>
        <v>เชียงใหม่</v>
      </c>
      <c r="Q111" s="82" t="str" cm="1">
        <f t="array" ref="Q111">IFERROR(INDEX('Portfolio 3_2'!$O$3:$AK$101,'Portfolio 3_2'!$AO8,15),"")</f>
        <v>12345</v>
      </c>
      <c r="R111" s="82" t="str" cm="1">
        <f t="array" ref="R111">IFERROR(TEXT(INDEX('Portfolio 3_2'!$O$3:$AK$101,'Portfolio 3_2'!$AO8,16),"dd/mm/yyyy"),"")</f>
        <v>07/09/2562</v>
      </c>
      <c r="S111" s="82" t="str" cm="1">
        <f t="array" ref="S111">IFERROR(INDEX('Portfolio 3_2'!$O$3:$AK$101,'Portfolio 3_2'!$AO8,20),"")</f>
        <v>ค่าบริการ</v>
      </c>
      <c r="T111" s="82" cm="1">
        <f t="array" ref="T111">IFERROR(INDEX('Portfolio 3_2'!$O$3:$AK$101,'Portfolio 3_2'!$AO8,17),"")</f>
        <v>3</v>
      </c>
      <c r="U111" s="82" cm="1">
        <f t="array" ref="U111">IFERROR(INDEX('Portfolio 3_2'!$O$3:$AK$101,'Portfolio 3_2'!$AO8,18),"")</f>
        <v>26528</v>
      </c>
      <c r="V111" s="82" cm="1">
        <f t="array" ref="V111">IFERROR(INDEX('Portfolio 3_2'!$O$3:$AK$101,'Portfolio 3_2'!$AO8,19),"")</f>
        <v>795.83999999999992</v>
      </c>
      <c r="W111" s="1" t="str">
        <f t="shared" si="9"/>
        <v>1</v>
      </c>
    </row>
    <row r="112" spans="1:23">
      <c r="A112" s="92">
        <f t="shared" si="6"/>
        <v>7</v>
      </c>
      <c r="B112" s="82" t="str" cm="1">
        <f t="array" ref="B112">IFERROR(INDEX('Portfolio 3_2'!$O$3:$AK$101,'Portfolio 3_2'!$AO9,2),"")</f>
        <v>02776XXX59149</v>
      </c>
      <c r="C112" s="1" t="str">
        <f t="shared" si="7"/>
        <v>00000</v>
      </c>
      <c r="D112" s="1" t="str">
        <f t="shared" si="8"/>
        <v>บจก.</v>
      </c>
      <c r="E112" s="82" t="str" cm="1">
        <f t="array" ref="E112">IFERROR(INDEX('Portfolio 3_2'!$O$3:$AK$101,'Portfolio 3_2'!$AO9,3),"")</f>
        <v>นายพิ่งเปิดมาคงสัยเก้าสิบเอ็ด</v>
      </c>
      <c r="F112" s="82" t="str" cm="1">
        <f t="array" ref="F112">IFERROR(INDEX('Portfolio 3_2'!$O$3:$AK$101,'Portfolio 3_2'!$AO9,4),"")</f>
        <v/>
      </c>
      <c r="G112" s="82" t="str" cm="1">
        <f t="array" ref="G112">IFERROR(INDEX('Portfolio 3_2'!$O$3:$AK$101,'Portfolio 3_2'!$AO9,5),"")</f>
        <v/>
      </c>
      <c r="H112" s="82" t="str" cm="1">
        <f t="array" ref="H112">IFERROR(INDEX('Portfolio 3_2'!$O$3:$AK$101,'Portfolio 3_2'!$AO9,6),"")</f>
        <v/>
      </c>
      <c r="I112" s="82" t="str" cm="1">
        <f t="array" ref="I112">IFERROR(INDEX('Portfolio 3_2'!$O$3:$AK$101,'Portfolio 3_2'!$AO9,7),"")</f>
        <v>5522</v>
      </c>
      <c r="J112" s="82" t="str" cm="1">
        <f t="array" ref="J112">IFERROR(INDEX('Portfolio 3_2'!$O$3:$AK$101,'Portfolio 3_2'!$AO9,8),"")</f>
        <v>5</v>
      </c>
      <c r="K112" s="82" t="str" cm="1">
        <f t="array" ref="K112">IFERROR(INDEX('Portfolio 3_2'!$O$3:$AK$101,'Portfolio 3_2'!$AO9,9),"")</f>
        <v/>
      </c>
      <c r="L112" s="82" t="str" cm="1">
        <f t="array" ref="L112">IFERROR(INDEX('Portfolio 3_2'!$O$3:$AK$101,'Portfolio 3_2'!$AO9,12),"")</f>
        <v/>
      </c>
      <c r="M112" s="82" t="str" cm="1">
        <f t="array" ref="M112">IFERROR(INDEX('Portfolio 3_2'!$O$3:$AK$101,'Portfolio 3_2'!$AO9,10),"")</f>
        <v/>
      </c>
      <c r="N112" s="82" t="str" cm="1">
        <f t="array" ref="N112">IFERROR(INDEX('Portfolio 3_2'!$O$3:$AK$101,'Portfolio 3_2'!$AO9,11),"")</f>
        <v>สลกบาตร</v>
      </c>
      <c r="O112" s="82" t="str" cm="1">
        <f t="array" ref="O112">IFERROR(INDEX('Portfolio 3_2'!$O$3:$AK$101,'Portfolio 3_2'!$AO9,13),"")</f>
        <v>ขาณุวรลักษบุรี</v>
      </c>
      <c r="P112" s="82" t="str" cm="1">
        <f t="array" ref="P112">IFERROR(IF(ISNUMBER(FIND("กรุงเทพ",INDEX('Portfolio 3_2'!$O$3:$AK$101,'Portfolio 3_2'!$AO10,14))),"กรุงเทพมหานคร",INDEX('Portfolio 3_2'!$O$3:$AK$101,'Portfolio 3_2'!$AO9,14)),"")</f>
        <v>กำแพงเพชร</v>
      </c>
      <c r="Q112" s="82" t="str" cm="1">
        <f t="array" ref="Q112">IFERROR(INDEX('Portfolio 3_2'!$O$3:$AK$101,'Portfolio 3_2'!$AO9,15),"")</f>
        <v>12345</v>
      </c>
      <c r="R112" s="82" t="str" cm="1">
        <f t="array" ref="R112">IFERROR(TEXT(INDEX('Portfolio 3_2'!$O$3:$AK$101,'Portfolio 3_2'!$AO9,16),"dd/mm/yyyy"),"")</f>
        <v>12/05/2562</v>
      </c>
      <c r="S112" s="82" t="str" cm="1">
        <f t="array" ref="S112">IFERROR(INDEX('Portfolio 3_2'!$O$3:$AK$101,'Portfolio 3_2'!$AO9,20),"")</f>
        <v>ค่าบริการ</v>
      </c>
      <c r="T112" s="82" cm="1">
        <f t="array" ref="T112">IFERROR(INDEX('Portfolio 3_2'!$O$3:$AK$101,'Portfolio 3_2'!$AO9,17),"")</f>
        <v>3</v>
      </c>
      <c r="U112" s="82" cm="1">
        <f t="array" ref="U112">IFERROR(INDEX('Portfolio 3_2'!$O$3:$AK$101,'Portfolio 3_2'!$AO9,18),"")</f>
        <v>26636</v>
      </c>
      <c r="V112" s="82" cm="1">
        <f t="array" ref="V112">IFERROR(INDEX('Portfolio 3_2'!$O$3:$AK$101,'Portfolio 3_2'!$AO9,19),"")</f>
        <v>799.07999999999993</v>
      </c>
      <c r="W112" s="1" t="str">
        <f t="shared" si="9"/>
        <v>1</v>
      </c>
    </row>
    <row r="113" spans="1:23">
      <c r="A113" s="92">
        <f t="shared" si="6"/>
        <v>8</v>
      </c>
      <c r="B113" s="82" t="str" cm="1">
        <f t="array" ref="B113">IFERROR(INDEX('Portfolio 3_2'!$O$3:$AK$101,'Portfolio 3_2'!$AO10,2),"")</f>
        <v>05333XXX49910</v>
      </c>
      <c r="C113" s="1" t="str">
        <f t="shared" si="7"/>
        <v>00000</v>
      </c>
      <c r="D113" s="1" t="str">
        <f t="shared" si="8"/>
        <v>บจก.</v>
      </c>
      <c r="E113" s="82" t="str" cm="1">
        <f t="array" ref="E113">IFERROR(INDEX('Portfolio 3_2'!$O$3:$AK$101,'Portfolio 3_2'!$AO10,3),"")</f>
        <v>นายพิ่งเปิดมาคงสัยหกสิบเอ็ด</v>
      </c>
      <c r="F113" s="82" t="str" cm="1">
        <f t="array" ref="F113">IFERROR(INDEX('Portfolio 3_2'!$O$3:$AK$101,'Portfolio 3_2'!$AO10,4),"")</f>
        <v/>
      </c>
      <c r="G113" s="82" t="str" cm="1">
        <f t="array" ref="G113">IFERROR(INDEX('Portfolio 3_2'!$O$3:$AK$101,'Portfolio 3_2'!$AO10,5),"")</f>
        <v/>
      </c>
      <c r="H113" s="82" t="str" cm="1">
        <f t="array" ref="H113">IFERROR(INDEX('Portfolio 3_2'!$O$3:$AK$101,'Portfolio 3_2'!$AO10,6),"")</f>
        <v/>
      </c>
      <c r="I113" s="82" t="str" cm="1">
        <f t="array" ref="I113">IFERROR(INDEX('Portfolio 3_2'!$O$3:$AK$101,'Portfolio 3_2'!$AO10,7),"")</f>
        <v>557/5</v>
      </c>
      <c r="J113" s="82" t="str" cm="1">
        <f t="array" ref="J113">IFERROR(INDEX('Portfolio 3_2'!$O$3:$AK$101,'Portfolio 3_2'!$AO10,8),"")</f>
        <v>5</v>
      </c>
      <c r="K113" s="82" t="str" cm="1">
        <f t="array" ref="K113">IFERROR(INDEX('Portfolio 3_2'!$O$3:$AK$101,'Portfolio 3_2'!$AO10,9),"")</f>
        <v>ตัวอย่าง</v>
      </c>
      <c r="L113" s="82" t="str" cm="1">
        <f t="array" ref="L113">IFERROR(INDEX('Portfolio 3_2'!$O$3:$AK$101,'Portfolio 3_2'!$AO10,12),"")</f>
        <v/>
      </c>
      <c r="M113" s="82" t="str" cm="1">
        <f t="array" ref="M113">IFERROR(INDEX('Portfolio 3_2'!$O$3:$AK$101,'Portfolio 3_2'!$AO10,10),"")</f>
        <v/>
      </c>
      <c r="N113" s="82" t="str" cm="1">
        <f t="array" ref="N113">IFERROR(INDEX('Portfolio 3_2'!$O$3:$AK$101,'Portfolio 3_2'!$AO10,11),"")</f>
        <v>ลาดยาว</v>
      </c>
      <c r="O113" s="82" t="str" cm="1">
        <f t="array" ref="O113">IFERROR(INDEX('Portfolio 3_2'!$O$3:$AK$101,'Portfolio 3_2'!$AO10,13),"")</f>
        <v>ลาดยาว</v>
      </c>
      <c r="P113" s="82" t="str" cm="1">
        <f t="array" ref="P113">IFERROR(IF(ISNUMBER(FIND("กรุงเทพ",INDEX('Portfolio 3_2'!$O$3:$AK$101,'Portfolio 3_2'!$AO11,14))),"กรุงเทพมหานคร",INDEX('Portfolio 3_2'!$O$3:$AK$101,'Portfolio 3_2'!$AO10,14)),"")</f>
        <v>นครสวรรค์</v>
      </c>
      <c r="Q113" s="82" t="str" cm="1">
        <f t="array" ref="Q113">IFERROR(INDEX('Portfolio 3_2'!$O$3:$AK$101,'Portfolio 3_2'!$AO10,15),"")</f>
        <v>12345</v>
      </c>
      <c r="R113" s="82" t="str" cm="1">
        <f t="array" ref="R113">IFERROR(TEXT(INDEX('Portfolio 3_2'!$O$3:$AK$101,'Portfolio 3_2'!$AO10,16),"dd/mm/yyyy"),"")</f>
        <v>12/04/2563</v>
      </c>
      <c r="S113" s="82" t="str" cm="1">
        <f t="array" ref="S113">IFERROR(INDEX('Portfolio 3_2'!$O$3:$AK$101,'Portfolio 3_2'!$AO10,20),"")</f>
        <v>ค่าบริการ</v>
      </c>
      <c r="T113" s="82" cm="1">
        <f t="array" ref="T113">IFERROR(INDEX('Portfolio 3_2'!$O$3:$AK$101,'Portfolio 3_2'!$AO10,17),"")</f>
        <v>3</v>
      </c>
      <c r="U113" s="82" cm="1">
        <f t="array" ref="U113">IFERROR(INDEX('Portfolio 3_2'!$O$3:$AK$101,'Portfolio 3_2'!$AO10,18),"")</f>
        <v>20897</v>
      </c>
      <c r="V113" s="82" cm="1">
        <f t="array" ref="V113">IFERROR(INDEX('Portfolio 3_2'!$O$3:$AK$101,'Portfolio 3_2'!$AO10,19),"")</f>
        <v>626.91</v>
      </c>
      <c r="W113" s="1" t="str">
        <f t="shared" si="9"/>
        <v>1</v>
      </c>
    </row>
    <row r="114" spans="1:23">
      <c r="A114" s="92">
        <f t="shared" si="6"/>
        <v>9</v>
      </c>
      <c r="B114" s="82" t="str" cm="1">
        <f t="array" ref="B114">IFERROR(INDEX('Portfolio 3_2'!$O$3:$AK$101,'Portfolio 3_2'!$AO11,2),"")</f>
        <v>08443XXX96101</v>
      </c>
      <c r="C114" s="1" t="str">
        <f t="shared" si="7"/>
        <v>00000</v>
      </c>
      <c r="D114" s="1" t="str">
        <f t="shared" si="8"/>
        <v>บจก.</v>
      </c>
      <c r="E114" s="82" t="str" cm="1">
        <f t="array" ref="E114">IFERROR(INDEX('Portfolio 3_2'!$O$3:$AK$101,'Portfolio 3_2'!$AO11,3),"")</f>
        <v>ตัวอย่าง40</v>
      </c>
      <c r="F114" s="82" t="str" cm="1">
        <f t="array" ref="F114">IFERROR(INDEX('Portfolio 3_2'!$O$3:$AK$101,'Portfolio 3_2'!$AO11,4),"")</f>
        <v/>
      </c>
      <c r="G114" s="82" t="str" cm="1">
        <f t="array" ref="G114">IFERROR(INDEX('Portfolio 3_2'!$O$3:$AK$101,'Portfolio 3_2'!$AO11,5),"")</f>
        <v/>
      </c>
      <c r="H114" s="82" t="str" cm="1">
        <f t="array" ref="H114">IFERROR(INDEX('Portfolio 3_2'!$O$3:$AK$101,'Portfolio 3_2'!$AO11,6),"")</f>
        <v/>
      </c>
      <c r="I114" s="82" t="str" cm="1">
        <f t="array" ref="I114">IFERROR(INDEX('Portfolio 3_2'!$O$3:$AK$101,'Portfolio 3_2'!$AO11,7),"")</f>
        <v>558</v>
      </c>
      <c r="J114" s="82" t="str" cm="1">
        <f t="array" ref="J114">IFERROR(INDEX('Portfolio 3_2'!$O$3:$AK$101,'Portfolio 3_2'!$AO11,8),"")</f>
        <v>5</v>
      </c>
      <c r="K114" s="82" t="str" cm="1">
        <f t="array" ref="K114">IFERROR(INDEX('Portfolio 3_2'!$O$3:$AK$101,'Portfolio 3_2'!$AO11,9),"")</f>
        <v/>
      </c>
      <c r="L114" s="82" t="str" cm="1">
        <f t="array" ref="L114">IFERROR(INDEX('Portfolio 3_2'!$O$3:$AK$101,'Portfolio 3_2'!$AO11,12),"")</f>
        <v/>
      </c>
      <c r="M114" s="82" t="str" cm="1">
        <f t="array" ref="M114">IFERROR(INDEX('Portfolio 3_2'!$O$3:$AK$101,'Portfolio 3_2'!$AO11,10),"")</f>
        <v/>
      </c>
      <c r="N114" s="82" t="str" cm="1">
        <f t="array" ref="N114">IFERROR(INDEX('Portfolio 3_2'!$O$3:$AK$101,'Portfolio 3_2'!$AO11,11),"")</f>
        <v>นครสวรรค์</v>
      </c>
      <c r="O114" s="82" t="str" cm="1">
        <f t="array" ref="O114">IFERROR(INDEX('Portfolio 3_2'!$O$3:$AK$101,'Portfolio 3_2'!$AO11,13),"")</f>
        <v>เมือง</v>
      </c>
      <c r="P114" s="82" t="str" cm="1">
        <f t="array" ref="P114">IFERROR(IF(ISNUMBER(FIND("กรุงเทพ",INDEX('Portfolio 3_2'!$O$3:$AK$101,'Portfolio 3_2'!$AO12,14))),"กรุงเทพมหานคร",INDEX('Portfolio 3_2'!$O$3:$AK$101,'Portfolio 3_2'!$AO11,14)),"")</f>
        <v>นครสวรรค์</v>
      </c>
      <c r="Q114" s="82" t="str" cm="1">
        <f t="array" ref="Q114">IFERROR(INDEX('Portfolio 3_2'!$O$3:$AK$101,'Portfolio 3_2'!$AO11,15),"")</f>
        <v>12345</v>
      </c>
      <c r="R114" s="82" t="str" cm="1">
        <f t="array" ref="R114">IFERROR(TEXT(INDEX('Portfolio 3_2'!$O$3:$AK$101,'Portfolio 3_2'!$AO11,16),"dd/mm/yyyy"),"")</f>
        <v>23/06/2563</v>
      </c>
      <c r="S114" s="82" t="str" cm="1">
        <f t="array" ref="S114">IFERROR(INDEX('Portfolio 3_2'!$O$3:$AK$101,'Portfolio 3_2'!$AO11,20),"")</f>
        <v>ค่าบริการ</v>
      </c>
      <c r="T114" s="82" cm="1">
        <f t="array" ref="T114">IFERROR(INDEX('Portfolio 3_2'!$O$3:$AK$101,'Portfolio 3_2'!$AO11,17),"")</f>
        <v>3</v>
      </c>
      <c r="U114" s="82" cm="1">
        <f t="array" ref="U114">IFERROR(INDEX('Portfolio 3_2'!$O$3:$AK$101,'Portfolio 3_2'!$AO11,18),"")</f>
        <v>17434</v>
      </c>
      <c r="V114" s="82" cm="1">
        <f t="array" ref="V114">IFERROR(INDEX('Portfolio 3_2'!$O$3:$AK$101,'Portfolio 3_2'!$AO11,19),"")</f>
        <v>523.02</v>
      </c>
      <c r="W114" s="1" t="str">
        <f t="shared" si="9"/>
        <v>1</v>
      </c>
    </row>
    <row r="115" spans="1:23">
      <c r="A115" s="92">
        <f t="shared" si="6"/>
        <v>10</v>
      </c>
      <c r="B115" s="82" t="str" cm="1">
        <f t="array" ref="B115">IFERROR(INDEX('Portfolio 3_2'!$O$3:$AK$101,'Portfolio 3_2'!$AO12,2),"")</f>
        <v>03035XXX97937</v>
      </c>
      <c r="C115" s="1" t="str">
        <f t="shared" si="7"/>
        <v>00000</v>
      </c>
      <c r="D115" s="1" t="str">
        <f t="shared" si="8"/>
        <v>บจก.</v>
      </c>
      <c r="E115" s="82" t="str" cm="1">
        <f t="array" ref="E115">IFERROR(INDEX('Portfolio 3_2'!$O$3:$AK$101,'Portfolio 3_2'!$AO12,3),"")</f>
        <v>พิ่งเปิด46</v>
      </c>
      <c r="F115" s="82" t="str" cm="1">
        <f t="array" ref="F115">IFERROR(INDEX('Portfolio 3_2'!$O$3:$AK$101,'Portfolio 3_2'!$AO12,4),"")</f>
        <v/>
      </c>
      <c r="G115" s="82" t="str" cm="1">
        <f t="array" ref="G115">IFERROR(INDEX('Portfolio 3_2'!$O$3:$AK$101,'Portfolio 3_2'!$AO12,5),"")</f>
        <v/>
      </c>
      <c r="H115" s="82" t="str" cm="1">
        <f t="array" ref="H115">IFERROR(INDEX('Portfolio 3_2'!$O$3:$AK$101,'Portfolio 3_2'!$AO12,6),"")</f>
        <v/>
      </c>
      <c r="I115" s="82" t="str" cm="1">
        <f t="array" ref="I115">IFERROR(INDEX('Portfolio 3_2'!$O$3:$AK$101,'Portfolio 3_2'!$AO12,7),"")</f>
        <v>568/5</v>
      </c>
      <c r="J115" s="82" t="str" cm="1">
        <f t="array" ref="J115">IFERROR(INDEX('Portfolio 3_2'!$O$3:$AK$101,'Portfolio 3_2'!$AO12,8),"")</f>
        <v>4</v>
      </c>
      <c r="K115" s="82" t="str" cm="1">
        <f t="array" ref="K115">IFERROR(INDEX('Portfolio 3_2'!$O$3:$AK$101,'Portfolio 3_2'!$AO12,9),"")</f>
        <v/>
      </c>
      <c r="L115" s="82" t="str" cm="1">
        <f t="array" ref="L115">IFERROR(INDEX('Portfolio 3_2'!$O$3:$AK$101,'Portfolio 3_2'!$AO12,12),"")</f>
        <v/>
      </c>
      <c r="M115" s="82" t="str" cm="1">
        <f t="array" ref="M115">IFERROR(INDEX('Portfolio 3_2'!$O$3:$AK$101,'Portfolio 3_2'!$AO12,10),"")</f>
        <v/>
      </c>
      <c r="N115" s="82" t="str" cm="1">
        <f t="array" ref="N115">IFERROR(INDEX('Portfolio 3_2'!$O$3:$AK$101,'Portfolio 3_2'!$AO12,11),"")</f>
        <v>ธานี</v>
      </c>
      <c r="O115" s="82" t="str" cm="1">
        <f t="array" ref="O115">IFERROR(INDEX('Portfolio 3_2'!$O$3:$AK$101,'Portfolio 3_2'!$AO12,13),"")</f>
        <v>เมือง</v>
      </c>
      <c r="P115" s="82" t="str" cm="1">
        <f t="array" ref="P115">IFERROR(IF(ISNUMBER(FIND("กรุงเทพ",INDEX('Portfolio 3_2'!$O$3:$AK$101,'Portfolio 3_2'!$AO13,14))),"กรุงเทพมหานคร",INDEX('Portfolio 3_2'!$O$3:$AK$101,'Portfolio 3_2'!$AO12,14)),"")</f>
        <v>สุโขทัย</v>
      </c>
      <c r="Q115" s="82" t="str" cm="1">
        <f t="array" ref="Q115">IFERROR(INDEX('Portfolio 3_2'!$O$3:$AK$101,'Portfolio 3_2'!$AO12,15),"")</f>
        <v>12345</v>
      </c>
      <c r="R115" s="82" t="str" cm="1">
        <f t="array" ref="R115">IFERROR(TEXT(INDEX('Portfolio 3_2'!$O$3:$AK$101,'Portfolio 3_2'!$AO12,16),"dd/mm/yyyy"),"")</f>
        <v>13/06/2562</v>
      </c>
      <c r="S115" s="82" t="str" cm="1">
        <f t="array" ref="S115">IFERROR(INDEX('Portfolio 3_2'!$O$3:$AK$101,'Portfolio 3_2'!$AO12,20),"")</f>
        <v>ค่าเช่า</v>
      </c>
      <c r="T115" s="82" cm="1">
        <f t="array" ref="T115">IFERROR(INDEX('Portfolio 3_2'!$O$3:$AK$101,'Portfolio 3_2'!$AO12,17),"")</f>
        <v>5</v>
      </c>
      <c r="U115" s="82" cm="1">
        <f t="array" ref="U115">IFERROR(INDEX('Portfolio 3_2'!$O$3:$AK$101,'Portfolio 3_2'!$AO12,18),"")</f>
        <v>28489</v>
      </c>
      <c r="V115" s="82" cm="1">
        <f t="array" ref="V115">IFERROR(INDEX('Portfolio 3_2'!$O$3:$AK$101,'Portfolio 3_2'!$AO12,19),"")</f>
        <v>1424.45</v>
      </c>
      <c r="W115" s="1" t="str">
        <f t="shared" si="9"/>
        <v>1</v>
      </c>
    </row>
    <row r="116" spans="1:23">
      <c r="A116" s="92">
        <f t="shared" si="6"/>
        <v>11</v>
      </c>
      <c r="B116" s="82" t="str" cm="1">
        <f t="array" ref="B116">IFERROR(INDEX('Portfolio 3_2'!$O$3:$AK$101,'Portfolio 3_2'!$AO13,2),"")</f>
        <v>05212XXX15301</v>
      </c>
      <c r="C116" s="1" t="str">
        <f t="shared" si="7"/>
        <v>00000</v>
      </c>
      <c r="D116" s="1" t="str">
        <f t="shared" si="8"/>
        <v>บจก.</v>
      </c>
      <c r="E116" s="82" t="str" cm="1">
        <f t="array" ref="E116">IFERROR(INDEX('Portfolio 3_2'!$O$3:$AK$101,'Portfolio 3_2'!$AO13,3),"")</f>
        <v>นางตัวอย่างสงเจริญแปดสิบเก้า</v>
      </c>
      <c r="F116" s="82" t="str" cm="1">
        <f t="array" ref="F116">IFERROR(INDEX('Portfolio 3_2'!$O$3:$AK$101,'Portfolio 3_2'!$AO13,4),"")</f>
        <v/>
      </c>
      <c r="G116" s="82" t="str" cm="1">
        <f t="array" ref="G116">IFERROR(INDEX('Portfolio 3_2'!$O$3:$AK$101,'Portfolio 3_2'!$AO13,5),"")</f>
        <v/>
      </c>
      <c r="H116" s="82" t="str" cm="1">
        <f t="array" ref="H116">IFERROR(INDEX('Portfolio 3_2'!$O$3:$AK$101,'Portfolio 3_2'!$AO13,6),"")</f>
        <v/>
      </c>
      <c r="I116" s="82" t="str" cm="1">
        <f t="array" ref="I116">IFERROR(INDEX('Portfolio 3_2'!$O$3:$AK$101,'Portfolio 3_2'!$AO13,7),"")</f>
        <v>578</v>
      </c>
      <c r="J116" s="82" t="str" cm="1">
        <f t="array" ref="J116">IFERROR(INDEX('Portfolio 3_2'!$O$3:$AK$101,'Portfolio 3_2'!$AO13,8),"")</f>
        <v>50</v>
      </c>
      <c r="K116" s="82" t="str" cm="1">
        <f t="array" ref="K116">IFERROR(INDEX('Portfolio 3_2'!$O$3:$AK$101,'Portfolio 3_2'!$AO13,9),"")</f>
        <v/>
      </c>
      <c r="L116" s="82" t="str" cm="1">
        <f t="array" ref="L116">IFERROR(INDEX('Portfolio 3_2'!$O$3:$AK$101,'Portfolio 3_2'!$AO13,12),"")</f>
        <v/>
      </c>
      <c r="M116" s="82" t="str" cm="1">
        <f t="array" ref="M116">IFERROR(INDEX('Portfolio 3_2'!$O$3:$AK$101,'Portfolio 3_2'!$AO13,10),"")</f>
        <v>ฮอด-วังลุง</v>
      </c>
      <c r="N116" s="82" t="str" cm="1">
        <f t="array" ref="N116">IFERROR(INDEX('Portfolio 3_2'!$O$3:$AK$101,'Portfolio 3_2'!$AO13,11),"")</f>
        <v>หางดง</v>
      </c>
      <c r="O116" s="82" t="str" cm="1">
        <f t="array" ref="O116">IFERROR(INDEX('Portfolio 3_2'!$O$3:$AK$101,'Portfolio 3_2'!$AO13,13),"")</f>
        <v>ฮอด</v>
      </c>
      <c r="P116" s="82" t="str" cm="1">
        <f t="array" ref="P116">IFERROR(IF(ISNUMBER(FIND("กรุงเทพ",INDEX('Portfolio 3_2'!$O$3:$AK$101,'Portfolio 3_2'!$AO14,14))),"กรุงเทพมหานคร",INDEX('Portfolio 3_2'!$O$3:$AK$101,'Portfolio 3_2'!$AO13,14)),"")</f>
        <v>เชียงใหม่</v>
      </c>
      <c r="Q116" s="82" t="str" cm="1">
        <f t="array" ref="Q116">IFERROR(INDEX('Portfolio 3_2'!$O$3:$AK$101,'Portfolio 3_2'!$AO13,15),"")</f>
        <v>12345</v>
      </c>
      <c r="R116" s="82" t="str" cm="1">
        <f t="array" ref="R116">IFERROR(TEXT(INDEX('Portfolio 3_2'!$O$3:$AK$101,'Portfolio 3_2'!$AO13,16),"dd/mm/yyyy"),"")</f>
        <v>04/06/2564</v>
      </c>
      <c r="S116" s="82" t="str" cm="1">
        <f t="array" ref="S116">IFERROR(INDEX('Portfolio 3_2'!$O$3:$AK$101,'Portfolio 3_2'!$AO13,20),"")</f>
        <v>ค่าบริการ</v>
      </c>
      <c r="T116" s="82" cm="1">
        <f t="array" ref="T116">IFERROR(INDEX('Portfolio 3_2'!$O$3:$AK$101,'Portfolio 3_2'!$AO13,17),"")</f>
        <v>3</v>
      </c>
      <c r="U116" s="82" cm="1">
        <f t="array" ref="U116">IFERROR(INDEX('Portfolio 3_2'!$O$3:$AK$101,'Portfolio 3_2'!$AO13,18),"")</f>
        <v>13289</v>
      </c>
      <c r="V116" s="82" cm="1">
        <f t="array" ref="V116">IFERROR(INDEX('Portfolio 3_2'!$O$3:$AK$101,'Portfolio 3_2'!$AO13,19),"")</f>
        <v>398.66999999999996</v>
      </c>
      <c r="W116" s="1" t="str">
        <f t="shared" si="9"/>
        <v>1</v>
      </c>
    </row>
    <row r="117" spans="1:23">
      <c r="A117" s="92">
        <f t="shared" si="6"/>
        <v>12</v>
      </c>
      <c r="B117" s="82" t="str" cm="1">
        <f t="array" ref="B117">IFERROR(INDEX('Portfolio 3_2'!$O$3:$AK$101,'Portfolio 3_2'!$AO14,2),"")</f>
        <v>00262XXX25179</v>
      </c>
      <c r="C117" s="1" t="str">
        <f t="shared" si="7"/>
        <v>00000</v>
      </c>
      <c r="D117" s="1" t="str">
        <f t="shared" si="8"/>
        <v>บจก.</v>
      </c>
      <c r="E117" s="82" t="str" cm="1">
        <f t="array" ref="E117">IFERROR(INDEX('Portfolio 3_2'!$O$3:$AK$101,'Portfolio 3_2'!$AO14,3),"")</f>
        <v>นายพิ่งเปิดมาคงสัยห้าสิบสาม</v>
      </c>
      <c r="F117" s="82" t="str" cm="1">
        <f t="array" ref="F117">IFERROR(INDEX('Portfolio 3_2'!$O$3:$AK$101,'Portfolio 3_2'!$AO14,4),"")</f>
        <v/>
      </c>
      <c r="G117" s="82" t="str" cm="1">
        <f t="array" ref="G117">IFERROR(INDEX('Portfolio 3_2'!$O$3:$AK$101,'Portfolio 3_2'!$AO14,5),"")</f>
        <v/>
      </c>
      <c r="H117" s="82" t="str" cm="1">
        <f t="array" ref="H117">IFERROR(INDEX('Portfolio 3_2'!$O$3:$AK$101,'Portfolio 3_2'!$AO14,6),"")</f>
        <v/>
      </c>
      <c r="I117" s="82" t="str" cm="1">
        <f t="array" ref="I117">IFERROR(INDEX('Portfolio 3_2'!$O$3:$AK$101,'Portfolio 3_2'!$AO14,7),"")</f>
        <v>590</v>
      </c>
      <c r="J117" s="82" t="str" cm="1">
        <f t="array" ref="J117">IFERROR(INDEX('Portfolio 3_2'!$O$3:$AK$101,'Portfolio 3_2'!$AO14,8),"")</f>
        <v>5</v>
      </c>
      <c r="K117" s="82" t="str" cm="1">
        <f t="array" ref="K117">IFERROR(INDEX('Portfolio 3_2'!$O$3:$AK$101,'Portfolio 3_2'!$AO14,9),"")</f>
        <v/>
      </c>
      <c r="L117" s="82" t="str" cm="1">
        <f t="array" ref="L117">IFERROR(INDEX('Portfolio 3_2'!$O$3:$AK$101,'Portfolio 3_2'!$AO14,12),"")</f>
        <v/>
      </c>
      <c r="M117" s="82" t="str" cm="1">
        <f t="array" ref="M117">IFERROR(INDEX('Portfolio 3_2'!$O$3:$AK$101,'Portfolio 3_2'!$AO14,10),"")</f>
        <v>สายเอเชีย</v>
      </c>
      <c r="N117" s="82" t="str" cm="1">
        <f t="array" ref="N117">IFERROR(INDEX('Portfolio 3_2'!$O$3:$AK$101,'Portfolio 3_2'!$AO14,11),"")</f>
        <v>แม่ปะ</v>
      </c>
      <c r="O117" s="82" t="str" cm="1">
        <f t="array" ref="O117">IFERROR(INDEX('Portfolio 3_2'!$O$3:$AK$101,'Portfolio 3_2'!$AO14,13),"")</f>
        <v>เถิน</v>
      </c>
      <c r="P117" s="82" t="str" cm="1">
        <f t="array" ref="P117">IFERROR(IF(ISNUMBER(FIND("กรุงเทพ",INDEX('Portfolio 3_2'!$O$3:$AK$101,'Portfolio 3_2'!$AO15,14))),"กรุงเทพมหานคร",INDEX('Portfolio 3_2'!$O$3:$AK$101,'Portfolio 3_2'!$AO14,14)),"")</f>
        <v>ลำปาง</v>
      </c>
      <c r="Q117" s="82" t="str" cm="1">
        <f t="array" ref="Q117">IFERROR(INDEX('Portfolio 3_2'!$O$3:$AK$101,'Portfolio 3_2'!$AO14,15),"")</f>
        <v>12345</v>
      </c>
      <c r="R117" s="82" t="str" cm="1">
        <f t="array" ref="R117">IFERROR(TEXT(INDEX('Portfolio 3_2'!$O$3:$AK$101,'Portfolio 3_2'!$AO14,16),"dd/mm/yyyy"),"")</f>
        <v>22/08/2562</v>
      </c>
      <c r="S117" s="82" t="str" cm="1">
        <f t="array" ref="S117">IFERROR(INDEX('Portfolio 3_2'!$O$3:$AK$101,'Portfolio 3_2'!$AO14,20),"")</f>
        <v>ค่าบริการ</v>
      </c>
      <c r="T117" s="82" cm="1">
        <f t="array" ref="T117">IFERROR(INDEX('Portfolio 3_2'!$O$3:$AK$101,'Portfolio 3_2'!$AO14,17),"")</f>
        <v>3</v>
      </c>
      <c r="U117" s="82" cm="1">
        <f t="array" ref="U117">IFERROR(INDEX('Portfolio 3_2'!$O$3:$AK$101,'Portfolio 3_2'!$AO14,18),"")</f>
        <v>12191</v>
      </c>
      <c r="V117" s="82" cm="1">
        <f t="array" ref="V117">IFERROR(INDEX('Portfolio 3_2'!$O$3:$AK$101,'Portfolio 3_2'!$AO14,19),"")</f>
        <v>365.72999999999996</v>
      </c>
      <c r="W117" s="1" t="str">
        <f t="shared" si="9"/>
        <v>1</v>
      </c>
    </row>
    <row r="118" spans="1:23">
      <c r="A118" s="92">
        <f t="shared" si="6"/>
        <v>13</v>
      </c>
      <c r="B118" s="82" t="str" cm="1">
        <f t="array" ref="B118">IFERROR(INDEX('Portfolio 3_2'!$O$3:$AK$101,'Portfolio 3_2'!$AO15,2),"")</f>
        <v>07221XXX83082</v>
      </c>
      <c r="C118" s="1" t="str">
        <f t="shared" si="7"/>
        <v>00000</v>
      </c>
      <c r="D118" s="1" t="str">
        <f t="shared" si="8"/>
        <v>บจก.</v>
      </c>
      <c r="E118" s="82" t="str" cm="1">
        <f t="array" ref="E118">IFERROR(INDEX('Portfolio 3_2'!$O$3:$AK$101,'Portfolio 3_2'!$AO15,3),"")</f>
        <v>นางซื้อแล้วรวยโตแล้วโตเจ็ดสิบเจ็ด</v>
      </c>
      <c r="F118" s="82" t="str" cm="1">
        <f t="array" ref="F118">IFERROR(INDEX('Portfolio 3_2'!$O$3:$AK$101,'Portfolio 3_2'!$AO15,4),"")</f>
        <v/>
      </c>
      <c r="G118" s="82" t="str" cm="1">
        <f t="array" ref="G118">IFERROR(INDEX('Portfolio 3_2'!$O$3:$AK$101,'Portfolio 3_2'!$AO15,5),"")</f>
        <v/>
      </c>
      <c r="H118" s="82" t="str" cm="1">
        <f t="array" ref="H118">IFERROR(INDEX('Portfolio 3_2'!$O$3:$AK$101,'Portfolio 3_2'!$AO15,6),"")</f>
        <v/>
      </c>
      <c r="I118" s="82" t="str" cm="1">
        <f t="array" ref="I118">IFERROR(INDEX('Portfolio 3_2'!$O$3:$AK$101,'Portfolio 3_2'!$AO15,7),"")</f>
        <v>2</v>
      </c>
      <c r="J118" s="82" t="str" cm="1">
        <f t="array" ref="J118">IFERROR(INDEX('Portfolio 3_2'!$O$3:$AK$101,'Portfolio 3_2'!$AO15,8),"")</f>
        <v/>
      </c>
      <c r="K118" s="82" t="str" cm="1">
        <f t="array" ref="K118">IFERROR(INDEX('Portfolio 3_2'!$O$3:$AK$101,'Portfolio 3_2'!$AO15,9),"")</f>
        <v/>
      </c>
      <c r="L118" s="82" t="str" cm="1">
        <f t="array" ref="L118">IFERROR(INDEX('Portfolio 3_2'!$O$3:$AK$101,'Portfolio 3_2'!$AO15,12),"")</f>
        <v/>
      </c>
      <c r="M118" s="82" t="str" cm="1">
        <f t="array" ref="M118">IFERROR(INDEX('Portfolio 3_2'!$O$3:$AK$101,'Portfolio 3_2'!$AO15,10),"")</f>
        <v>ศศิบุตร</v>
      </c>
      <c r="N118" s="82" t="str" cm="1">
        <f t="array" ref="N118">IFERROR(INDEX('Portfolio 3_2'!$O$3:$AK$101,'Portfolio 3_2'!$AO15,11),"")</f>
        <v>-</v>
      </c>
      <c r="O118" s="82" t="str" cm="1">
        <f t="array" ref="O118">IFERROR(INDEX('Portfolio 3_2'!$O$3:$AK$101,'Portfolio 3_2'!$AO15,13),"")</f>
        <v>เมือง</v>
      </c>
      <c r="P118" s="82" t="str" cm="1">
        <f t="array" ref="P118">IFERROR(IF(ISNUMBER(FIND("กรุงเทพ",INDEX('Portfolio 3_2'!$O$3:$AK$101,'Portfolio 3_2'!$AO16,14))),"กรุงเทพมหานคร",INDEX('Portfolio 3_2'!$O$3:$AK$101,'Portfolio 3_2'!$AO15,14)),"")</f>
        <v>แพร่</v>
      </c>
      <c r="Q118" s="82" t="str" cm="1">
        <f t="array" ref="Q118">IFERROR(INDEX('Portfolio 3_2'!$O$3:$AK$101,'Portfolio 3_2'!$AO15,15),"")</f>
        <v>12345</v>
      </c>
      <c r="R118" s="82" t="str" cm="1">
        <f t="array" ref="R118">IFERROR(TEXT(INDEX('Portfolio 3_2'!$O$3:$AK$101,'Portfolio 3_2'!$AO15,16),"dd/mm/yyyy"),"")</f>
        <v>24/08/2562</v>
      </c>
      <c r="S118" s="82" t="str" cm="1">
        <f t="array" ref="S118">IFERROR(INDEX('Portfolio 3_2'!$O$3:$AK$101,'Portfolio 3_2'!$AO15,20),"")</f>
        <v>ค่าบริการ</v>
      </c>
      <c r="T118" s="82" cm="1">
        <f t="array" ref="T118">IFERROR(INDEX('Portfolio 3_2'!$O$3:$AK$101,'Portfolio 3_2'!$AO15,17),"")</f>
        <v>3</v>
      </c>
      <c r="U118" s="82" cm="1">
        <f t="array" ref="U118">IFERROR(INDEX('Portfolio 3_2'!$O$3:$AK$101,'Portfolio 3_2'!$AO15,18),"")</f>
        <v>25995</v>
      </c>
      <c r="V118" s="82" cm="1">
        <f t="array" ref="V118">IFERROR(INDEX('Portfolio 3_2'!$O$3:$AK$101,'Portfolio 3_2'!$AO15,19),"")</f>
        <v>779.85</v>
      </c>
      <c r="W118" s="1" t="str">
        <f t="shared" si="9"/>
        <v>1</v>
      </c>
    </row>
    <row r="119" spans="1:23">
      <c r="A119" s="92">
        <f t="shared" si="6"/>
        <v>14</v>
      </c>
      <c r="B119" s="82" t="str" cm="1">
        <f t="array" ref="B119">IFERROR(INDEX('Portfolio 3_2'!$O$3:$AK$101,'Portfolio 3_2'!$AO16,2),"")</f>
        <v>03376XXX18618</v>
      </c>
      <c r="C119" s="1" t="str">
        <f t="shared" si="7"/>
        <v>00000</v>
      </c>
      <c r="D119" s="1" t="str">
        <f t="shared" si="8"/>
        <v>บจก.</v>
      </c>
      <c r="E119" s="82" t="str" cm="1">
        <f t="array" ref="E119">IFERROR(INDEX('Portfolio 3_2'!$O$3:$AK$101,'Portfolio 3_2'!$AO16,3),"")</f>
        <v>นายอยากจะรวยอาคมแรงสามสิบเอ็ด</v>
      </c>
      <c r="F119" s="82" t="str" cm="1">
        <f t="array" ref="F119">IFERROR(INDEX('Portfolio 3_2'!$O$3:$AK$101,'Portfolio 3_2'!$AO16,4),"")</f>
        <v/>
      </c>
      <c r="G119" s="82" t="str" cm="1">
        <f t="array" ref="G119">IFERROR(INDEX('Portfolio 3_2'!$O$3:$AK$101,'Portfolio 3_2'!$AO16,5),"")</f>
        <v/>
      </c>
      <c r="H119" s="82" t="str" cm="1">
        <f t="array" ref="H119">IFERROR(INDEX('Portfolio 3_2'!$O$3:$AK$101,'Portfolio 3_2'!$AO16,6),"")</f>
        <v/>
      </c>
      <c r="I119" s="82" t="str" cm="1">
        <f t="array" ref="I119">IFERROR(INDEX('Portfolio 3_2'!$O$3:$AK$101,'Portfolio 3_2'!$AO16,7),"")</f>
        <v>2</v>
      </c>
      <c r="J119" s="82" t="str" cm="1">
        <f t="array" ref="J119">IFERROR(INDEX('Portfolio 3_2'!$O$3:$AK$101,'Portfolio 3_2'!$AO16,8),"")</f>
        <v>4</v>
      </c>
      <c r="K119" s="82" t="str" cm="1">
        <f t="array" ref="K119">IFERROR(INDEX('Portfolio 3_2'!$O$3:$AK$101,'Portfolio 3_2'!$AO16,9),"")</f>
        <v/>
      </c>
      <c r="L119" s="82" t="str" cm="1">
        <f t="array" ref="L119">IFERROR(INDEX('Portfolio 3_2'!$O$3:$AK$101,'Portfolio 3_2'!$AO16,12),"")</f>
        <v/>
      </c>
      <c r="M119" s="82" t="str" cm="1">
        <f t="array" ref="M119">IFERROR(INDEX('Portfolio 3_2'!$O$3:$AK$101,'Portfolio 3_2'!$AO16,10),"")</f>
        <v>โชตนา</v>
      </c>
      <c r="N119" s="82" t="str" cm="1">
        <f t="array" ref="N119">IFERROR(INDEX('Portfolio 3_2'!$O$3:$AK$101,'Portfolio 3_2'!$AO16,11),"")</f>
        <v>เวียง</v>
      </c>
      <c r="O119" s="82" t="str" cm="1">
        <f t="array" ref="O119">IFERROR(INDEX('Portfolio 3_2'!$O$3:$AK$101,'Portfolio 3_2'!$AO16,13),"")</f>
        <v>ฝาง</v>
      </c>
      <c r="P119" s="82" t="str" cm="1">
        <f t="array" ref="P119">IFERROR(IF(ISNUMBER(FIND("กรุงเทพ",INDEX('Portfolio 3_2'!$O$3:$AK$101,'Portfolio 3_2'!$AO17,14))),"กรุงเทพมหานคร",INDEX('Portfolio 3_2'!$O$3:$AK$101,'Portfolio 3_2'!$AO16,14)),"")</f>
        <v>เชียงใหม่</v>
      </c>
      <c r="Q119" s="82" t="str" cm="1">
        <f t="array" ref="Q119">IFERROR(INDEX('Portfolio 3_2'!$O$3:$AK$101,'Portfolio 3_2'!$AO16,15),"")</f>
        <v>12345</v>
      </c>
      <c r="R119" s="82" t="str" cm="1">
        <f t="array" ref="R119">IFERROR(TEXT(INDEX('Portfolio 3_2'!$O$3:$AK$101,'Portfolio 3_2'!$AO16,16),"dd/mm/yyyy"),"")</f>
        <v>10/11/2562</v>
      </c>
      <c r="S119" s="82" t="str" cm="1">
        <f t="array" ref="S119">IFERROR(INDEX('Portfolio 3_2'!$O$3:$AK$101,'Portfolio 3_2'!$AO16,20),"")</f>
        <v>ค่าบริการ</v>
      </c>
      <c r="T119" s="82" cm="1">
        <f t="array" ref="T119">IFERROR(INDEX('Portfolio 3_2'!$O$3:$AK$101,'Portfolio 3_2'!$AO16,17),"")</f>
        <v>3</v>
      </c>
      <c r="U119" s="82" cm="1">
        <f t="array" ref="U119">IFERROR(INDEX('Portfolio 3_2'!$O$3:$AK$101,'Portfolio 3_2'!$AO16,18),"")</f>
        <v>24766</v>
      </c>
      <c r="V119" s="82" cm="1">
        <f t="array" ref="V119">IFERROR(INDEX('Portfolio 3_2'!$O$3:$AK$101,'Portfolio 3_2'!$AO16,19),"")</f>
        <v>742.98</v>
      </c>
      <c r="W119" s="1" t="str">
        <f t="shared" si="9"/>
        <v>1</v>
      </c>
    </row>
    <row r="120" spans="1:23">
      <c r="A120" s="92">
        <f t="shared" si="6"/>
        <v>15</v>
      </c>
      <c r="B120" s="82" t="str" cm="1">
        <f t="array" ref="B120">IFERROR(INDEX('Portfolio 3_2'!$O$3:$AK$101,'Portfolio 3_2'!$AO17,2),"")</f>
        <v>00549XXX74344</v>
      </c>
      <c r="C120" s="1" t="str">
        <f t="shared" si="7"/>
        <v>00000</v>
      </c>
      <c r="D120" s="1" t="str">
        <f t="shared" si="8"/>
        <v>บจก.</v>
      </c>
      <c r="E120" s="82" t="str" cm="1">
        <f t="array" ref="E120">IFERROR(INDEX('Portfolio 3_2'!$O$3:$AK$101,'Portfolio 3_2'!$AO17,3),"")</f>
        <v>พิ่งเปิด6</v>
      </c>
      <c r="F120" s="82" t="str" cm="1">
        <f t="array" ref="F120">IFERROR(INDEX('Portfolio 3_2'!$O$3:$AK$101,'Portfolio 3_2'!$AO17,4),"")</f>
        <v/>
      </c>
      <c r="G120" s="82" t="str" cm="1">
        <f t="array" ref="G120">IFERROR(INDEX('Portfolio 3_2'!$O$3:$AK$101,'Portfolio 3_2'!$AO17,5),"")</f>
        <v/>
      </c>
      <c r="H120" s="82" t="str" cm="1">
        <f t="array" ref="H120">IFERROR(INDEX('Portfolio 3_2'!$O$3:$AK$101,'Portfolio 3_2'!$AO17,6),"")</f>
        <v/>
      </c>
      <c r="I120" s="82" t="str" cm="1">
        <f t="array" ref="I120">IFERROR(INDEX('Portfolio 3_2'!$O$3:$AK$101,'Portfolio 3_2'!$AO17,7),"")</f>
        <v>203</v>
      </c>
      <c r="J120" s="82" t="str" cm="1">
        <f t="array" ref="J120">IFERROR(INDEX('Portfolio 3_2'!$O$3:$AK$101,'Portfolio 3_2'!$AO17,8),"")</f>
        <v/>
      </c>
      <c r="K120" s="82" t="str" cm="1">
        <f t="array" ref="K120">IFERROR(INDEX('Portfolio 3_2'!$O$3:$AK$101,'Portfolio 3_2'!$AO17,9),"")</f>
        <v/>
      </c>
      <c r="L120" s="82" t="str" cm="1">
        <f t="array" ref="L120">IFERROR(INDEX('Portfolio 3_2'!$O$3:$AK$101,'Portfolio 3_2'!$AO17,12),"")</f>
        <v/>
      </c>
      <c r="M120" s="82" t="str" cm="1">
        <f t="array" ref="M120">IFERROR(INDEX('Portfolio 3_2'!$O$3:$AK$101,'Portfolio 3_2'!$AO17,10),"")</f>
        <v>พรหมประเสริฐ</v>
      </c>
      <c r="N120" s="82" t="str" cm="1">
        <f t="array" ref="N120">IFERROR(INDEX('Portfolio 3_2'!$O$3:$AK$101,'Portfolio 3_2'!$AO17,11),"")</f>
        <v>บ้านกล้วย</v>
      </c>
      <c r="O120" s="82" t="str" cm="1">
        <f t="array" ref="O120">IFERROR(INDEX('Portfolio 3_2'!$O$3:$AK$101,'Portfolio 3_2'!$AO17,13),"")</f>
        <v>เมือง</v>
      </c>
      <c r="P120" s="82" t="str" cm="1">
        <f t="array" ref="P120">IFERROR(IF(ISNUMBER(FIND("กรุงเทพ",INDEX('Portfolio 3_2'!$O$3:$AK$101,'Portfolio 3_2'!$AO18,14))),"กรุงเทพมหานคร",INDEX('Portfolio 3_2'!$O$3:$AK$101,'Portfolio 3_2'!$AO17,14)),"")</f>
        <v>ชัยนาท</v>
      </c>
      <c r="Q120" s="82" t="str" cm="1">
        <f t="array" ref="Q120">IFERROR(INDEX('Portfolio 3_2'!$O$3:$AK$101,'Portfolio 3_2'!$AO17,15),"")</f>
        <v>12345</v>
      </c>
      <c r="R120" s="82" t="str" cm="1">
        <f t="array" ref="R120">IFERROR(TEXT(INDEX('Portfolio 3_2'!$O$3:$AK$101,'Portfolio 3_2'!$AO17,16),"dd/mm/yyyy"),"")</f>
        <v>05/06/2564</v>
      </c>
      <c r="S120" s="82" t="str" cm="1">
        <f t="array" ref="S120">IFERROR(INDEX('Portfolio 3_2'!$O$3:$AK$101,'Portfolio 3_2'!$AO17,20),"")</f>
        <v>ค่าบริการ</v>
      </c>
      <c r="T120" s="82" cm="1">
        <f t="array" ref="T120">IFERROR(INDEX('Portfolio 3_2'!$O$3:$AK$101,'Portfolio 3_2'!$AO17,17),"")</f>
        <v>3</v>
      </c>
      <c r="U120" s="82" cm="1">
        <f t="array" ref="U120">IFERROR(INDEX('Portfolio 3_2'!$O$3:$AK$101,'Portfolio 3_2'!$AO17,18),"")</f>
        <v>17457</v>
      </c>
      <c r="V120" s="82" cm="1">
        <f t="array" ref="V120">IFERROR(INDEX('Portfolio 3_2'!$O$3:$AK$101,'Portfolio 3_2'!$AO17,19),"")</f>
        <v>523.71</v>
      </c>
      <c r="W120" s="1" t="str">
        <f t="shared" si="9"/>
        <v>1</v>
      </c>
    </row>
    <row r="121" spans="1:23">
      <c r="A121" s="92">
        <f t="shared" si="6"/>
        <v>16</v>
      </c>
      <c r="B121" s="82" t="str" cm="1">
        <f t="array" ref="B121">IFERROR(INDEX('Portfolio 3_2'!$O$3:$AK$101,'Portfolio 3_2'!$AO18,2),"")</f>
        <v>03454XXX54237</v>
      </c>
      <c r="C121" s="1" t="str">
        <f t="shared" si="7"/>
        <v>00000</v>
      </c>
      <c r="D121" s="1" t="str">
        <f t="shared" si="8"/>
        <v>บจก.</v>
      </c>
      <c r="E121" s="82" t="str" cm="1">
        <f t="array" ref="E121">IFERROR(INDEX('Portfolio 3_2'!$O$3:$AK$101,'Portfolio 3_2'!$AO18,3),"")</f>
        <v>นายอยากจะรวยอาคมแรงสี่สิบสาม</v>
      </c>
      <c r="F121" s="82" t="str" cm="1">
        <f t="array" ref="F121">IFERROR(INDEX('Portfolio 3_2'!$O$3:$AK$101,'Portfolio 3_2'!$AO18,4),"")</f>
        <v/>
      </c>
      <c r="G121" s="82" t="str" cm="1">
        <f t="array" ref="G121">IFERROR(INDEX('Portfolio 3_2'!$O$3:$AK$101,'Portfolio 3_2'!$AO18,5),"")</f>
        <v/>
      </c>
      <c r="H121" s="82" t="str" cm="1">
        <f t="array" ref="H121">IFERROR(INDEX('Portfolio 3_2'!$O$3:$AK$101,'Portfolio 3_2'!$AO18,6),"")</f>
        <v/>
      </c>
      <c r="I121" s="82" t="str" cm="1">
        <f t="array" ref="I121">IFERROR(INDEX('Portfolio 3_2'!$O$3:$AK$101,'Portfolio 3_2'!$AO18,7),"")</f>
        <v>2580</v>
      </c>
      <c r="J121" s="82" t="str" cm="1">
        <f t="array" ref="J121">IFERROR(INDEX('Portfolio 3_2'!$O$3:$AK$101,'Portfolio 3_2'!$AO18,8),"")</f>
        <v>5</v>
      </c>
      <c r="K121" s="82" t="str" cm="1">
        <f t="array" ref="K121">IFERROR(INDEX('Portfolio 3_2'!$O$3:$AK$101,'Portfolio 3_2'!$AO18,9),"")</f>
        <v/>
      </c>
      <c r="L121" s="82" t="str" cm="1">
        <f t="array" ref="L121">IFERROR(INDEX('Portfolio 3_2'!$O$3:$AK$101,'Portfolio 3_2'!$AO18,12),"")</f>
        <v/>
      </c>
      <c r="M121" s="82" t="str" cm="1">
        <f t="array" ref="M121">IFERROR(INDEX('Portfolio 3_2'!$O$3:$AK$101,'Portfolio 3_2'!$AO18,10),"")</f>
        <v/>
      </c>
      <c r="N121" s="82" t="str" cm="1">
        <f t="array" ref="N121">IFERROR(INDEX('Portfolio 3_2'!$O$3:$AK$101,'Portfolio 3_2'!$AO18,11),"")</f>
        <v>เมืองพาน</v>
      </c>
      <c r="O121" s="82" t="str" cm="1">
        <f t="array" ref="O121">IFERROR(INDEX('Portfolio 3_2'!$O$3:$AK$101,'Portfolio 3_2'!$AO18,13),"")</f>
        <v>พาน</v>
      </c>
      <c r="P121" s="82" t="str" cm="1">
        <f t="array" ref="P121">IFERROR(IF(ISNUMBER(FIND("กรุงเทพ",INDEX('Portfolio 3_2'!$O$3:$AK$101,'Portfolio 3_2'!$AO19,14))),"กรุงเทพมหานคร",INDEX('Portfolio 3_2'!$O$3:$AK$101,'Portfolio 3_2'!$AO18,14)),"")</f>
        <v>เชียงราย</v>
      </c>
      <c r="Q121" s="82" t="str" cm="1">
        <f t="array" ref="Q121">IFERROR(INDEX('Portfolio 3_2'!$O$3:$AK$101,'Portfolio 3_2'!$AO18,15),"")</f>
        <v>12345</v>
      </c>
      <c r="R121" s="82" t="str" cm="1">
        <f t="array" ref="R121">IFERROR(TEXT(INDEX('Portfolio 3_2'!$O$3:$AK$101,'Portfolio 3_2'!$AO18,16),"dd/mm/yyyy"),"")</f>
        <v>24/06/2563</v>
      </c>
      <c r="S121" s="82" t="str" cm="1">
        <f t="array" ref="S121">IFERROR(INDEX('Portfolio 3_2'!$O$3:$AK$101,'Portfolio 3_2'!$AO18,20),"")</f>
        <v>ค่าบริการ</v>
      </c>
      <c r="T121" s="82" cm="1">
        <f t="array" ref="T121">IFERROR(INDEX('Portfolio 3_2'!$O$3:$AK$101,'Portfolio 3_2'!$AO18,17),"")</f>
        <v>3</v>
      </c>
      <c r="U121" s="82" cm="1">
        <f t="array" ref="U121">IFERROR(INDEX('Portfolio 3_2'!$O$3:$AK$101,'Portfolio 3_2'!$AO18,18),"")</f>
        <v>18297</v>
      </c>
      <c r="V121" s="82" cm="1">
        <f t="array" ref="V121">IFERROR(INDEX('Portfolio 3_2'!$O$3:$AK$101,'Portfolio 3_2'!$AO18,19),"")</f>
        <v>548.91</v>
      </c>
      <c r="W121" s="1" t="str">
        <f t="shared" si="9"/>
        <v>1</v>
      </c>
    </row>
    <row r="122" spans="1:23">
      <c r="A122" s="92">
        <f t="shared" si="6"/>
        <v>17</v>
      </c>
      <c r="B122" s="82" t="str" cm="1">
        <f t="array" ref="B122">IFERROR(INDEX('Portfolio 3_2'!$O$3:$AK$101,'Portfolio 3_2'!$AO19,2),"")</f>
        <v>09443XXX63317</v>
      </c>
      <c r="C122" s="1" t="str">
        <f t="shared" si="7"/>
        <v>00000</v>
      </c>
      <c r="D122" s="1" t="str">
        <f t="shared" si="8"/>
        <v>บจก.</v>
      </c>
      <c r="E122" s="82" t="str" cm="1">
        <f t="array" ref="E122">IFERROR(INDEX('Portfolio 3_2'!$O$3:$AK$101,'Portfolio 3_2'!$AO19,3),"")</f>
        <v>พิ่งเปิด74</v>
      </c>
      <c r="F122" s="82" t="str" cm="1">
        <f t="array" ref="F122">IFERROR(INDEX('Portfolio 3_2'!$O$3:$AK$101,'Portfolio 3_2'!$AO19,4),"")</f>
        <v/>
      </c>
      <c r="G122" s="82" t="str" cm="1">
        <f t="array" ref="G122">IFERROR(INDEX('Portfolio 3_2'!$O$3:$AK$101,'Portfolio 3_2'!$AO19,5),"")</f>
        <v/>
      </c>
      <c r="H122" s="82" t="str" cm="1">
        <f t="array" ref="H122">IFERROR(INDEX('Portfolio 3_2'!$O$3:$AK$101,'Portfolio 3_2'!$AO19,6),"")</f>
        <v/>
      </c>
      <c r="I122" s="82" t="str" cm="1">
        <f t="array" ref="I122">IFERROR(INDEX('Portfolio 3_2'!$O$3:$AK$101,'Portfolio 3_2'!$AO19,7),"")</f>
        <v>22</v>
      </c>
      <c r="J122" s="82" t="str" cm="1">
        <f t="array" ref="J122">IFERROR(INDEX('Portfolio 3_2'!$O$3:$AK$101,'Portfolio 3_2'!$AO19,8),"")</f>
        <v>55</v>
      </c>
      <c r="K122" s="82" t="str" cm="1">
        <f t="array" ref="K122">IFERROR(INDEX('Portfolio 3_2'!$O$3:$AK$101,'Portfolio 3_2'!$AO19,9),"")</f>
        <v/>
      </c>
      <c r="L122" s="82" t="str" cm="1">
        <f t="array" ref="L122">IFERROR(INDEX('Portfolio 3_2'!$O$3:$AK$101,'Portfolio 3_2'!$AO19,12),"")</f>
        <v/>
      </c>
      <c r="M122" s="82" t="str" cm="1">
        <f t="array" ref="M122">IFERROR(INDEX('Portfolio 3_2'!$O$3:$AK$101,'Portfolio 3_2'!$AO19,10),"")</f>
        <v>เชียงราย-เทิง</v>
      </c>
      <c r="N122" s="82" t="str" cm="1">
        <f t="array" ref="N122">IFERROR(INDEX('Portfolio 3_2'!$O$3:$AK$101,'Portfolio 3_2'!$AO19,11),"")</f>
        <v>เวียง</v>
      </c>
      <c r="O122" s="82" t="str" cm="1">
        <f t="array" ref="O122">IFERROR(INDEX('Portfolio 3_2'!$O$3:$AK$101,'Portfolio 3_2'!$AO19,13),"")</f>
        <v>เทิง</v>
      </c>
      <c r="P122" s="82" t="str" cm="1">
        <f t="array" ref="P122">IFERROR(IF(ISNUMBER(FIND("กรุงเทพ",INDEX('Portfolio 3_2'!$O$3:$AK$101,'Portfolio 3_2'!$AO20,14))),"กรุงเทพมหานคร",INDEX('Portfolio 3_2'!$O$3:$AK$101,'Portfolio 3_2'!$AO19,14)),"")</f>
        <v>เชียงราย</v>
      </c>
      <c r="Q122" s="82" t="str" cm="1">
        <f t="array" ref="Q122">IFERROR(INDEX('Portfolio 3_2'!$O$3:$AK$101,'Portfolio 3_2'!$AO19,15),"")</f>
        <v>12345</v>
      </c>
      <c r="R122" s="82" t="str" cm="1">
        <f t="array" ref="R122">IFERROR(TEXT(INDEX('Portfolio 3_2'!$O$3:$AK$101,'Portfolio 3_2'!$AO19,16),"dd/mm/yyyy"),"")</f>
        <v>20/08/2563</v>
      </c>
      <c r="S122" s="82" t="str" cm="1">
        <f t="array" ref="S122">IFERROR(INDEX('Portfolio 3_2'!$O$3:$AK$101,'Portfolio 3_2'!$AO19,20),"")</f>
        <v>ค่าบริการ</v>
      </c>
      <c r="T122" s="82" cm="1">
        <f t="array" ref="T122">IFERROR(INDEX('Portfolio 3_2'!$O$3:$AK$101,'Portfolio 3_2'!$AO19,17),"")</f>
        <v>3</v>
      </c>
      <c r="U122" s="82" cm="1">
        <f t="array" ref="U122">IFERROR(INDEX('Portfolio 3_2'!$O$3:$AK$101,'Portfolio 3_2'!$AO19,18),"")</f>
        <v>26649</v>
      </c>
      <c r="V122" s="82" cm="1">
        <f t="array" ref="V122">IFERROR(INDEX('Portfolio 3_2'!$O$3:$AK$101,'Portfolio 3_2'!$AO19,19),"")</f>
        <v>799.47</v>
      </c>
      <c r="W122" s="1" t="str">
        <f t="shared" si="9"/>
        <v>1</v>
      </c>
    </row>
    <row r="123" spans="1:23">
      <c r="A123" s="92">
        <f t="shared" si="6"/>
        <v>18</v>
      </c>
      <c r="B123" s="82" t="str" cm="1">
        <f t="array" ref="B123">IFERROR(INDEX('Portfolio 3_2'!$O$3:$AK$101,'Portfolio 3_2'!$AO20,2),"")</f>
        <v>04380XXX81121</v>
      </c>
      <c r="C123" s="1" t="str">
        <f t="shared" si="7"/>
        <v>00000</v>
      </c>
      <c r="D123" s="1" t="str">
        <f t="shared" si="8"/>
        <v>บจก.</v>
      </c>
      <c r="E123" s="82" t="str" cm="1">
        <f t="array" ref="E123">IFERROR(INDEX('Portfolio 3_2'!$O$3:$AK$101,'Portfolio 3_2'!$AO20,3),"")</f>
        <v>ซื้อแล้วรวย26</v>
      </c>
      <c r="F123" s="82" t="str" cm="1">
        <f t="array" ref="F123">IFERROR(INDEX('Portfolio 3_2'!$O$3:$AK$101,'Portfolio 3_2'!$AO20,4),"")</f>
        <v/>
      </c>
      <c r="G123" s="82" t="str" cm="1">
        <f t="array" ref="G123">IFERROR(INDEX('Portfolio 3_2'!$O$3:$AK$101,'Portfolio 3_2'!$AO20,5),"")</f>
        <v/>
      </c>
      <c r="H123" s="82" t="str" cm="1">
        <f t="array" ref="H123">IFERROR(INDEX('Portfolio 3_2'!$O$3:$AK$101,'Portfolio 3_2'!$AO20,6),"")</f>
        <v/>
      </c>
      <c r="I123" s="82" t="str" cm="1">
        <f t="array" ref="I123">IFERROR(INDEX('Portfolio 3_2'!$O$3:$AK$101,'Portfolio 3_2'!$AO20,7),"")</f>
        <v>240</v>
      </c>
      <c r="J123" s="82" t="str" cm="1">
        <f t="array" ref="J123">IFERROR(INDEX('Portfolio 3_2'!$O$3:$AK$101,'Portfolio 3_2'!$AO20,8),"")</f>
        <v>3</v>
      </c>
      <c r="K123" s="82" t="str" cm="1">
        <f t="array" ref="K123">IFERROR(INDEX('Portfolio 3_2'!$O$3:$AK$101,'Portfolio 3_2'!$AO20,9),"")</f>
        <v/>
      </c>
      <c r="L123" s="82" t="str" cm="1">
        <f t="array" ref="L123">IFERROR(INDEX('Portfolio 3_2'!$O$3:$AK$101,'Portfolio 3_2'!$AO20,12),"")</f>
        <v/>
      </c>
      <c r="M123" s="82" t="str" cm="1">
        <f t="array" ref="M123">IFERROR(INDEX('Portfolio 3_2'!$O$3:$AK$101,'Portfolio 3_2'!$AO20,10),"")</f>
        <v>บ้านป่าป๋วย-หนองเขียด</v>
      </c>
      <c r="N123" s="82" t="str" cm="1">
        <f t="array" ref="N123">IFERROR(INDEX('Portfolio 3_2'!$O$3:$AK$101,'Portfolio 3_2'!$AO20,11),"")</f>
        <v>บ้านโฮ่ง</v>
      </c>
      <c r="O123" s="82" t="str" cm="1">
        <f t="array" ref="O123">IFERROR(INDEX('Portfolio 3_2'!$O$3:$AK$101,'Portfolio 3_2'!$AO20,13),"")</f>
        <v>บ้านโฮ่ง</v>
      </c>
      <c r="P123" s="82" t="str" cm="1">
        <f t="array" ref="P123">IFERROR(IF(ISNUMBER(FIND("กรุงเทพ",INDEX('Portfolio 3_2'!$O$3:$AK$101,'Portfolio 3_2'!$AO21,14))),"กรุงเทพมหานคร",INDEX('Portfolio 3_2'!$O$3:$AK$101,'Portfolio 3_2'!$AO20,14)),"")</f>
        <v>ลำพูน</v>
      </c>
      <c r="Q123" s="82" t="str" cm="1">
        <f t="array" ref="Q123">IFERROR(INDEX('Portfolio 3_2'!$O$3:$AK$101,'Portfolio 3_2'!$AO20,15),"")</f>
        <v>12345</v>
      </c>
      <c r="R123" s="82" t="str" cm="1">
        <f t="array" ref="R123">IFERROR(TEXT(INDEX('Portfolio 3_2'!$O$3:$AK$101,'Portfolio 3_2'!$AO20,16),"dd/mm/yyyy"),"")</f>
        <v>31/05/2563</v>
      </c>
      <c r="S123" s="82" t="str" cm="1">
        <f t="array" ref="S123">IFERROR(INDEX('Portfolio 3_2'!$O$3:$AK$101,'Portfolio 3_2'!$AO20,20),"")</f>
        <v>ค่าบริการ</v>
      </c>
      <c r="T123" s="82" cm="1">
        <f t="array" ref="T123">IFERROR(INDEX('Portfolio 3_2'!$O$3:$AK$101,'Portfolio 3_2'!$AO20,17),"")</f>
        <v>3</v>
      </c>
      <c r="U123" s="82" cm="1">
        <f t="array" ref="U123">IFERROR(INDEX('Portfolio 3_2'!$O$3:$AK$101,'Portfolio 3_2'!$AO20,18),"")</f>
        <v>21294</v>
      </c>
      <c r="V123" s="82" cm="1">
        <f t="array" ref="V123">IFERROR(INDEX('Portfolio 3_2'!$O$3:$AK$101,'Portfolio 3_2'!$AO20,19),"")</f>
        <v>638.81999999999994</v>
      </c>
      <c r="W123" s="1" t="str">
        <f t="shared" si="9"/>
        <v>1</v>
      </c>
    </row>
    <row r="124" spans="1:23">
      <c r="A124" s="92">
        <f t="shared" si="6"/>
        <v>19</v>
      </c>
      <c r="B124" s="82" t="str" cm="1">
        <f t="array" ref="B124">IFERROR(INDEX('Portfolio 3_2'!$O$3:$AK$101,'Portfolio 3_2'!$AO21,2),"")</f>
        <v>02520XXX40838</v>
      </c>
      <c r="C124" s="1" t="str">
        <f t="shared" si="7"/>
        <v>00000</v>
      </c>
      <c r="D124" s="1" t="str">
        <f t="shared" si="8"/>
        <v>บจก.</v>
      </c>
      <c r="E124" s="82" t="str" cm="1">
        <f t="array" ref="E124">IFERROR(INDEX('Portfolio 3_2'!$O$3:$AK$101,'Portfolio 3_2'!$AO21,3),"")</f>
        <v>ตัวอย่าง82</v>
      </c>
      <c r="F124" s="82" t="str" cm="1">
        <f t="array" ref="F124">IFERROR(INDEX('Portfolio 3_2'!$O$3:$AK$101,'Portfolio 3_2'!$AO21,4),"")</f>
        <v>ทาวเวอร์</v>
      </c>
      <c r="G124" s="82" t="str" cm="1">
        <f t="array" ref="G124">IFERROR(INDEX('Portfolio 3_2'!$O$3:$AK$101,'Portfolio 3_2'!$AO21,5),"")</f>
        <v/>
      </c>
      <c r="H124" s="82" t="str" cm="1">
        <f t="array" ref="H124">IFERROR(INDEX('Portfolio 3_2'!$O$3:$AK$101,'Portfolio 3_2'!$AO21,6),"")</f>
        <v/>
      </c>
      <c r="I124" s="82" t="str" cm="1">
        <f t="array" ref="I124">IFERROR(INDEX('Portfolio 3_2'!$O$3:$AK$101,'Portfolio 3_2'!$AO21,7),"")</f>
        <v>266</v>
      </c>
      <c r="J124" s="82" t="str" cm="1">
        <f t="array" ref="J124">IFERROR(INDEX('Portfolio 3_2'!$O$3:$AK$101,'Portfolio 3_2'!$AO21,8),"")</f>
        <v/>
      </c>
      <c r="K124" s="82" t="str" cm="1">
        <f t="array" ref="K124">IFERROR(INDEX('Portfolio 3_2'!$O$3:$AK$101,'Portfolio 3_2'!$AO21,9),"")</f>
        <v/>
      </c>
      <c r="L124" s="82" t="str" cm="1">
        <f t="array" ref="L124">IFERROR(INDEX('Portfolio 3_2'!$O$3:$AK$101,'Portfolio 3_2'!$AO21,12),"")</f>
        <v/>
      </c>
      <c r="M124" s="82" t="str" cm="1">
        <f t="array" ref="M124">IFERROR(INDEX('Portfolio 3_2'!$O$3:$AK$101,'Portfolio 3_2'!$AO21,10),"")</f>
        <v>รอบเมืองนอก</v>
      </c>
      <c r="N124" s="82" t="str" cm="1">
        <f t="array" ref="N124">IFERROR(INDEX('Portfolio 3_2'!$O$3:$AK$101,'Portfolio 3_2'!$AO21,11),"")</f>
        <v>ในเมือง</v>
      </c>
      <c r="O124" s="82" t="str" cm="1">
        <f t="array" ref="O124">IFERROR(INDEX('Portfolio 3_2'!$O$3:$AK$101,'Portfolio 3_2'!$AO21,13),"")</f>
        <v>เมือง</v>
      </c>
      <c r="P124" s="82" t="str" cm="1">
        <f t="array" ref="P124">IFERROR(IF(ISNUMBER(FIND("กรุงเทพ",INDEX('Portfolio 3_2'!$O$3:$AK$101,'Portfolio 3_2'!$AO22,14))),"กรุงเทพมหานคร",INDEX('Portfolio 3_2'!$O$3:$AK$101,'Portfolio 3_2'!$AO21,14)),"")</f>
        <v>ลำพูน</v>
      </c>
      <c r="Q124" s="82" t="str" cm="1">
        <f t="array" ref="Q124">IFERROR(INDEX('Portfolio 3_2'!$O$3:$AK$101,'Portfolio 3_2'!$AO21,15),"")</f>
        <v>12345</v>
      </c>
      <c r="R124" s="82" t="str" cm="1">
        <f t="array" ref="R124">IFERROR(TEXT(INDEX('Portfolio 3_2'!$O$3:$AK$101,'Portfolio 3_2'!$AO21,16),"dd/mm/yyyy"),"")</f>
        <v>21/10/2563</v>
      </c>
      <c r="S124" s="82" t="str" cm="1">
        <f t="array" ref="S124">IFERROR(INDEX('Portfolio 3_2'!$O$3:$AK$101,'Portfolio 3_2'!$AO21,20),"")</f>
        <v>ค่าขนส่ง</v>
      </c>
      <c r="T124" s="82" cm="1">
        <f t="array" ref="T124">IFERROR(INDEX('Portfolio 3_2'!$O$3:$AK$101,'Portfolio 3_2'!$AO21,17),"")</f>
        <v>1</v>
      </c>
      <c r="U124" s="82" cm="1">
        <f t="array" ref="U124">IFERROR(INDEX('Portfolio 3_2'!$O$3:$AK$101,'Portfolio 3_2'!$AO21,18),"")</f>
        <v>12729</v>
      </c>
      <c r="V124" s="82" cm="1">
        <f t="array" ref="V124">IFERROR(INDEX('Portfolio 3_2'!$O$3:$AK$101,'Portfolio 3_2'!$AO21,19),"")</f>
        <v>127.29</v>
      </c>
      <c r="W124" s="1" t="str">
        <f t="shared" si="9"/>
        <v>1</v>
      </c>
    </row>
    <row r="125" spans="1:23">
      <c r="A125" s="92">
        <f t="shared" si="6"/>
        <v>20</v>
      </c>
      <c r="B125" s="82" t="str" cm="1">
        <f t="array" ref="B125">IFERROR(INDEX('Portfolio 3_2'!$O$3:$AK$101,'Portfolio 3_2'!$AO22,2),"")</f>
        <v>01010XXX41250</v>
      </c>
      <c r="C125" s="1" t="str">
        <f t="shared" si="7"/>
        <v>00000</v>
      </c>
      <c r="D125" s="1" t="str">
        <f t="shared" si="8"/>
        <v>บจก.</v>
      </c>
      <c r="E125" s="82" t="str" cm="1">
        <f t="array" ref="E125">IFERROR(INDEX('Portfolio 3_2'!$O$3:$AK$101,'Portfolio 3_2'!$AO22,3),"")</f>
        <v>ซื้อแล้วรวย12</v>
      </c>
      <c r="F125" s="82" t="str" cm="1">
        <f t="array" ref="F125">IFERROR(INDEX('Portfolio 3_2'!$O$3:$AK$101,'Portfolio 3_2'!$AO22,4),"")</f>
        <v/>
      </c>
      <c r="G125" s="82" t="str" cm="1">
        <f t="array" ref="G125">IFERROR(INDEX('Portfolio 3_2'!$O$3:$AK$101,'Portfolio 3_2'!$AO22,5),"")</f>
        <v/>
      </c>
      <c r="H125" s="82" t="str" cm="1">
        <f t="array" ref="H125">IFERROR(INDEX('Portfolio 3_2'!$O$3:$AK$101,'Portfolio 3_2'!$AO22,6),"")</f>
        <v/>
      </c>
      <c r="I125" s="82" t="str" cm="1">
        <f t="array" ref="I125">IFERROR(INDEX('Portfolio 3_2'!$O$3:$AK$101,'Portfolio 3_2'!$AO22,7),"")</f>
        <v>273</v>
      </c>
      <c r="J125" s="82" t="str" cm="1">
        <f t="array" ref="J125">IFERROR(INDEX('Portfolio 3_2'!$O$3:$AK$101,'Portfolio 3_2'!$AO22,8),"")</f>
        <v>3</v>
      </c>
      <c r="K125" s="82" t="str" cm="1">
        <f t="array" ref="K125">IFERROR(INDEX('Portfolio 3_2'!$O$3:$AK$101,'Portfolio 3_2'!$AO22,9),"")</f>
        <v/>
      </c>
      <c r="L125" s="82" t="str" cm="1">
        <f t="array" ref="L125">IFERROR(INDEX('Portfolio 3_2'!$O$3:$AK$101,'Portfolio 3_2'!$AO22,12),"")</f>
        <v xml:space="preserve"> 3</v>
      </c>
      <c r="M125" s="82" t="str" cm="1">
        <f t="array" ref="M125">IFERROR(INDEX('Portfolio 3_2'!$O$3:$AK$101,'Portfolio 3_2'!$AO22,10),"")</f>
        <v>พหลโยธิน</v>
      </c>
      <c r="N125" s="82" t="str" cm="1">
        <f t="array" ref="N125">IFERROR(INDEX('Portfolio 3_2'!$O$3:$AK$101,'Portfolio 3_2'!$AO22,11),"")</f>
        <v>ศาลา</v>
      </c>
      <c r="O125" s="82" t="str" cm="1">
        <f t="array" ref="O125">IFERROR(INDEX('Portfolio 3_2'!$O$3:$AK$101,'Portfolio 3_2'!$AO22,13),"")</f>
        <v>เกาะคา</v>
      </c>
      <c r="P125" s="82" t="str" cm="1">
        <f t="array" ref="P125">IFERROR(IF(ISNUMBER(FIND("กรุงเทพ",INDEX('Portfolio 3_2'!$O$3:$AK$101,'Portfolio 3_2'!$AO23,14))),"กรุงเทพมหานคร",INDEX('Portfolio 3_2'!$O$3:$AK$101,'Portfolio 3_2'!$AO22,14)),"")</f>
        <v>ลำปาง</v>
      </c>
      <c r="Q125" s="82" t="str" cm="1">
        <f t="array" ref="Q125">IFERROR(INDEX('Portfolio 3_2'!$O$3:$AK$101,'Portfolio 3_2'!$AO22,15),"")</f>
        <v>12345</v>
      </c>
      <c r="R125" s="82" t="str" cm="1">
        <f t="array" ref="R125">IFERROR(TEXT(INDEX('Portfolio 3_2'!$O$3:$AK$101,'Portfolio 3_2'!$AO22,16),"dd/mm/yyyy"),"")</f>
        <v>02/09/2563</v>
      </c>
      <c r="S125" s="82" t="str" cm="1">
        <f t="array" ref="S125">IFERROR(INDEX('Portfolio 3_2'!$O$3:$AK$101,'Portfolio 3_2'!$AO22,20),"")</f>
        <v>ค่าเบี้ยประกัน</v>
      </c>
      <c r="T125" s="82" cm="1">
        <f t="array" ref="T125">IFERROR(INDEX('Portfolio 3_2'!$O$3:$AK$101,'Portfolio 3_2'!$AO22,17),"")</f>
        <v>1</v>
      </c>
      <c r="U125" s="82" cm="1">
        <f t="array" ref="U125">IFERROR(INDEX('Portfolio 3_2'!$O$3:$AK$101,'Portfolio 3_2'!$AO22,18),"")</f>
        <v>21975</v>
      </c>
      <c r="V125" s="82" cm="1">
        <f t="array" ref="V125">IFERROR(INDEX('Portfolio 3_2'!$O$3:$AK$101,'Portfolio 3_2'!$AO22,19),"")</f>
        <v>219.75</v>
      </c>
      <c r="W125" s="1" t="str">
        <f t="shared" si="9"/>
        <v>1</v>
      </c>
    </row>
    <row r="126" spans="1:23">
      <c r="A126" s="92">
        <f t="shared" si="6"/>
        <v>21</v>
      </c>
      <c r="B126" s="82" t="str" cm="1">
        <f t="array" ref="B126">IFERROR(INDEX('Portfolio 3_2'!$O$3:$AK$101,'Portfolio 3_2'!$AO23,2),"")</f>
        <v>01011XXX96557</v>
      </c>
      <c r="C126" s="1" t="str">
        <f t="shared" si="7"/>
        <v>00000</v>
      </c>
      <c r="D126" s="1" t="str">
        <f t="shared" si="8"/>
        <v>บจก.</v>
      </c>
      <c r="E126" s="82" t="str" cm="1">
        <f t="array" ref="E126">IFERROR(INDEX('Portfolio 3_2'!$O$3:$AK$101,'Portfolio 3_2'!$AO23,3),"")</f>
        <v>ซื้อแล้วรวย44</v>
      </c>
      <c r="F126" s="82" t="str" cm="1">
        <f t="array" ref="F126">IFERROR(INDEX('Portfolio 3_2'!$O$3:$AK$101,'Portfolio 3_2'!$AO23,4),"")</f>
        <v/>
      </c>
      <c r="G126" s="82" t="str" cm="1">
        <f t="array" ref="G126">IFERROR(INDEX('Portfolio 3_2'!$O$3:$AK$101,'Portfolio 3_2'!$AO23,5),"")</f>
        <v/>
      </c>
      <c r="H126" s="82" t="str" cm="1">
        <f t="array" ref="H126">IFERROR(INDEX('Portfolio 3_2'!$O$3:$AK$101,'Portfolio 3_2'!$AO23,6),"")</f>
        <v/>
      </c>
      <c r="I126" s="82" t="str" cm="1">
        <f t="array" ref="I126">IFERROR(INDEX('Portfolio 3_2'!$O$3:$AK$101,'Portfolio 3_2'!$AO23,7),"")</f>
        <v>286</v>
      </c>
      <c r="J126" s="82" t="str" cm="1">
        <f t="array" ref="J126">IFERROR(INDEX('Portfolio 3_2'!$O$3:$AK$101,'Portfolio 3_2'!$AO23,8),"")</f>
        <v>5</v>
      </c>
      <c r="K126" s="82" t="str" cm="1">
        <f t="array" ref="K126">IFERROR(INDEX('Portfolio 3_2'!$O$3:$AK$101,'Portfolio 3_2'!$AO23,9),"")</f>
        <v/>
      </c>
      <c r="L126" s="82" t="str" cm="1">
        <f t="array" ref="L126">IFERROR(INDEX('Portfolio 3_2'!$O$3:$AK$101,'Portfolio 3_2'!$AO23,12),"")</f>
        <v/>
      </c>
      <c r="M126" s="82" t="str" cm="1">
        <f t="array" ref="M126">IFERROR(INDEX('Portfolio 3_2'!$O$3:$AK$101,'Portfolio 3_2'!$AO23,10),"")</f>
        <v/>
      </c>
      <c r="N126" s="82" t="str" cm="1">
        <f t="array" ref="N126">IFERROR(INDEX('Portfolio 3_2'!$O$3:$AK$101,'Portfolio 3_2'!$AO23,11),"")</f>
        <v>ท่าวังผา</v>
      </c>
      <c r="O126" s="82" t="str" cm="1">
        <f t="array" ref="O126">IFERROR(INDEX('Portfolio 3_2'!$O$3:$AK$101,'Portfolio 3_2'!$AO23,13),"")</f>
        <v>ท่าวังผา</v>
      </c>
      <c r="P126" s="82" t="str" cm="1">
        <f t="array" ref="P126">IFERROR(IF(ISNUMBER(FIND("กรุงเทพ",INDEX('Portfolio 3_2'!$O$3:$AK$101,'Portfolio 3_2'!$AO24,14))),"กรุงเทพมหานคร",INDEX('Portfolio 3_2'!$O$3:$AK$101,'Portfolio 3_2'!$AO23,14)),"")</f>
        <v>น่าน</v>
      </c>
      <c r="Q126" s="82" t="str" cm="1">
        <f t="array" ref="Q126">IFERROR(INDEX('Portfolio 3_2'!$O$3:$AK$101,'Portfolio 3_2'!$AO23,15),"")</f>
        <v>12345</v>
      </c>
      <c r="R126" s="82" t="str" cm="1">
        <f t="array" ref="R126">IFERROR(TEXT(INDEX('Portfolio 3_2'!$O$3:$AK$101,'Portfolio 3_2'!$AO23,16),"dd/mm/yyyy"),"")</f>
        <v>19/04/2562</v>
      </c>
      <c r="S126" s="82" t="str" cm="1">
        <f t="array" ref="S126">IFERROR(INDEX('Portfolio 3_2'!$O$3:$AK$101,'Portfolio 3_2'!$AO23,20),"")</f>
        <v>ค่าบริการ</v>
      </c>
      <c r="T126" s="82" cm="1">
        <f t="array" ref="T126">IFERROR(INDEX('Portfolio 3_2'!$O$3:$AK$101,'Portfolio 3_2'!$AO23,17),"")</f>
        <v>3</v>
      </c>
      <c r="U126" s="82" cm="1">
        <f t="array" ref="U126">IFERROR(INDEX('Portfolio 3_2'!$O$3:$AK$101,'Portfolio 3_2'!$AO23,18),"")</f>
        <v>18409</v>
      </c>
      <c r="V126" s="82" cm="1">
        <f t="array" ref="V126">IFERROR(INDEX('Portfolio 3_2'!$O$3:$AK$101,'Portfolio 3_2'!$AO23,19),"")</f>
        <v>552.27</v>
      </c>
      <c r="W126" s="1" t="str">
        <f t="shared" si="9"/>
        <v>1</v>
      </c>
    </row>
    <row r="127" spans="1:23">
      <c r="A127" s="92">
        <f t="shared" si="6"/>
        <v>22</v>
      </c>
      <c r="B127" s="82" t="str" cm="1">
        <f t="array" ref="B127">IFERROR(INDEX('Portfolio 3_2'!$O$3:$AK$101,'Portfolio 3_2'!$AO24,2),"")</f>
        <v>09197XXX06367</v>
      </c>
      <c r="C127" s="1" t="str">
        <f t="shared" si="7"/>
        <v>00000</v>
      </c>
      <c r="D127" s="1" t="str">
        <f t="shared" si="8"/>
        <v>บจก.</v>
      </c>
      <c r="E127" s="82" t="str" cm="1">
        <f t="array" ref="E127">IFERROR(INDEX('Portfolio 3_2'!$O$3:$AK$101,'Portfolio 3_2'!$AO24,3),"")</f>
        <v>นายอยากจะรวยอาคมแรงสามสิบห้า</v>
      </c>
      <c r="F127" s="82" t="str" cm="1">
        <f t="array" ref="F127">IFERROR(INDEX('Portfolio 3_2'!$O$3:$AK$101,'Portfolio 3_2'!$AO24,4),"")</f>
        <v/>
      </c>
      <c r="G127" s="82" t="str" cm="1">
        <f t="array" ref="G127">IFERROR(INDEX('Portfolio 3_2'!$O$3:$AK$101,'Portfolio 3_2'!$AO24,5),"")</f>
        <v/>
      </c>
      <c r="H127" s="82" t="str" cm="1">
        <f t="array" ref="H127">IFERROR(INDEX('Portfolio 3_2'!$O$3:$AK$101,'Portfolio 3_2'!$AO24,6),"")</f>
        <v/>
      </c>
      <c r="I127" s="82" t="str" cm="1">
        <f t="array" ref="I127">IFERROR(INDEX('Portfolio 3_2'!$O$3:$AK$101,'Portfolio 3_2'!$AO24,7),"")</f>
        <v>29</v>
      </c>
      <c r="J127" s="82" t="str" cm="1">
        <f t="array" ref="J127">IFERROR(INDEX('Portfolio 3_2'!$O$3:$AK$101,'Portfolio 3_2'!$AO24,8),"")</f>
        <v/>
      </c>
      <c r="K127" s="82" t="str" cm="1">
        <f t="array" ref="K127">IFERROR(INDEX('Portfolio 3_2'!$O$3:$AK$101,'Portfolio 3_2'!$AO24,9),"")</f>
        <v/>
      </c>
      <c r="L127" s="82" t="str" cm="1">
        <f t="array" ref="L127">IFERROR(INDEX('Portfolio 3_2'!$O$3:$AK$101,'Portfolio 3_2'!$AO24,12),"")</f>
        <v/>
      </c>
      <c r="M127" s="82" t="str" cm="1">
        <f t="array" ref="M127">IFERROR(INDEX('Portfolio 3_2'!$O$3:$AK$101,'Portfolio 3_2'!$AO24,10),"")</f>
        <v/>
      </c>
      <c r="N127" s="82" t="str" cm="1">
        <f t="array" ref="N127">IFERROR(INDEX('Portfolio 3_2'!$O$3:$AK$101,'Portfolio 3_2'!$AO24,11),"")</f>
        <v>บางมูลนาก</v>
      </c>
      <c r="O127" s="82" t="str" cm="1">
        <f t="array" ref="O127">IFERROR(INDEX('Portfolio 3_2'!$O$3:$AK$101,'Portfolio 3_2'!$AO24,13),"")</f>
        <v>บางมูลนาก</v>
      </c>
      <c r="P127" s="82" t="str" cm="1">
        <f t="array" ref="P127">IFERROR(IF(ISNUMBER(FIND("กรุงเทพ",INDEX('Portfolio 3_2'!$O$3:$AK$101,'Portfolio 3_2'!$AO25,14))),"กรุงเทพมหานคร",INDEX('Portfolio 3_2'!$O$3:$AK$101,'Portfolio 3_2'!$AO24,14)),"")</f>
        <v>เขตบางมูลนาก</v>
      </c>
      <c r="Q127" s="82" t="str" cm="1">
        <f t="array" ref="Q127">IFERROR(INDEX('Portfolio 3_2'!$O$3:$AK$101,'Portfolio 3_2'!$AO24,15),"")</f>
        <v>12345</v>
      </c>
      <c r="R127" s="82" t="str" cm="1">
        <f t="array" ref="R127">IFERROR(TEXT(INDEX('Portfolio 3_2'!$O$3:$AK$101,'Portfolio 3_2'!$AO24,16),"dd/mm/yyyy"),"")</f>
        <v>28/07/2563</v>
      </c>
      <c r="S127" s="82" t="str" cm="1">
        <f t="array" ref="S127">IFERROR(INDEX('Portfolio 3_2'!$O$3:$AK$101,'Portfolio 3_2'!$AO24,20),"")</f>
        <v>ค่าบริการ</v>
      </c>
      <c r="T127" s="82" cm="1">
        <f t="array" ref="T127">IFERROR(INDEX('Portfolio 3_2'!$O$3:$AK$101,'Portfolio 3_2'!$AO24,17),"")</f>
        <v>3</v>
      </c>
      <c r="U127" s="82" cm="1">
        <f t="array" ref="U127">IFERROR(INDEX('Portfolio 3_2'!$O$3:$AK$101,'Portfolio 3_2'!$AO24,18),"")</f>
        <v>26741</v>
      </c>
      <c r="V127" s="82" cm="1">
        <f t="array" ref="V127">IFERROR(INDEX('Portfolio 3_2'!$O$3:$AK$101,'Portfolio 3_2'!$AO24,19),"")</f>
        <v>802.23</v>
      </c>
      <c r="W127" s="1" t="str">
        <f t="shared" si="9"/>
        <v>1</v>
      </c>
    </row>
    <row r="128" spans="1:23">
      <c r="A128" s="92">
        <f t="shared" si="6"/>
        <v>23</v>
      </c>
      <c r="B128" s="82" t="str" cm="1">
        <f t="array" ref="B128">IFERROR(INDEX('Portfolio 3_2'!$O$3:$AK$101,'Portfolio 3_2'!$AO25,2),"")</f>
        <v>04080XXX71785</v>
      </c>
      <c r="C128" s="1" t="str">
        <f t="shared" si="7"/>
        <v>00000</v>
      </c>
      <c r="D128" s="1" t="str">
        <f t="shared" si="8"/>
        <v>บจก.</v>
      </c>
      <c r="E128" s="82" t="str" cm="1">
        <f t="array" ref="E128">IFERROR(INDEX('Portfolio 3_2'!$O$3:$AK$101,'Portfolio 3_2'!$AO25,3),"")</f>
        <v>นางซื้อแล้วรวยโตแล้วโตหกสิบห้า</v>
      </c>
      <c r="F128" s="82" t="str" cm="1">
        <f t="array" ref="F128">IFERROR(INDEX('Portfolio 3_2'!$O$3:$AK$101,'Portfolio 3_2'!$AO25,4),"")</f>
        <v/>
      </c>
      <c r="G128" s="82" t="str" cm="1">
        <f t="array" ref="G128">IFERROR(INDEX('Portfolio 3_2'!$O$3:$AK$101,'Portfolio 3_2'!$AO25,5),"")</f>
        <v/>
      </c>
      <c r="H128" s="82" t="str" cm="1">
        <f t="array" ref="H128">IFERROR(INDEX('Portfolio 3_2'!$O$3:$AK$101,'Portfolio 3_2'!$AO25,6),"")</f>
        <v/>
      </c>
      <c r="I128" s="82" t="str" cm="1">
        <f t="array" ref="I128">IFERROR(INDEX('Portfolio 3_2'!$O$3:$AK$101,'Portfolio 3_2'!$AO25,7),"")</f>
        <v>30/35</v>
      </c>
      <c r="J128" s="82" t="str" cm="1">
        <f t="array" ref="J128">IFERROR(INDEX('Portfolio 3_2'!$O$3:$AK$101,'Portfolio 3_2'!$AO25,8),"")</f>
        <v/>
      </c>
      <c r="K128" s="82" t="str" cm="1">
        <f t="array" ref="K128">IFERROR(INDEX('Portfolio 3_2'!$O$3:$AK$101,'Portfolio 3_2'!$AO25,9),"")</f>
        <v/>
      </c>
      <c r="L128" s="82" t="str" cm="1">
        <f t="array" ref="L128">IFERROR(INDEX('Portfolio 3_2'!$O$3:$AK$101,'Portfolio 3_2'!$AO25,12),"")</f>
        <v/>
      </c>
      <c r="M128" s="82" t="str" cm="1">
        <f t="array" ref="M128">IFERROR(INDEX('Portfolio 3_2'!$O$3:$AK$101,'Portfolio 3_2'!$AO25,10),"")</f>
        <v/>
      </c>
      <c r="N128" s="82" t="str" cm="1">
        <f t="array" ref="N128">IFERROR(INDEX('Portfolio 3_2'!$O$3:$AK$101,'Portfolio 3_2'!$AO25,11),"")</f>
        <v>คลองตาล</v>
      </c>
      <c r="O128" s="82" t="str" cm="1">
        <f t="array" ref="O128">IFERROR(INDEX('Portfolio 3_2'!$O$3:$AK$101,'Portfolio 3_2'!$AO25,13),"")</f>
        <v>ศรีสำโรง</v>
      </c>
      <c r="P128" s="82" t="str" cm="1">
        <f t="array" ref="P128">IFERROR(IF(ISNUMBER(FIND("กรุงเทพ",INDEX('Portfolio 3_2'!$O$3:$AK$101,'Portfolio 3_2'!$AO26,14))),"กรุงเทพมหานคร",INDEX('Portfolio 3_2'!$O$3:$AK$101,'Portfolio 3_2'!$AO25,14)),"")</f>
        <v>สุโขทัย</v>
      </c>
      <c r="Q128" s="82" t="str" cm="1">
        <f t="array" ref="Q128">IFERROR(INDEX('Portfolio 3_2'!$O$3:$AK$101,'Portfolio 3_2'!$AO25,15),"")</f>
        <v>12345</v>
      </c>
      <c r="R128" s="82" t="str" cm="1">
        <f t="array" ref="R128">IFERROR(TEXT(INDEX('Portfolio 3_2'!$O$3:$AK$101,'Portfolio 3_2'!$AO25,16),"dd/mm/yyyy"),"")</f>
        <v>24/06/2564</v>
      </c>
      <c r="S128" s="82" t="str" cm="1">
        <f t="array" ref="S128">IFERROR(INDEX('Portfolio 3_2'!$O$3:$AK$101,'Portfolio 3_2'!$AO25,20),"")</f>
        <v>ค่าบริการ</v>
      </c>
      <c r="T128" s="82" cm="1">
        <f t="array" ref="T128">IFERROR(INDEX('Portfolio 3_2'!$O$3:$AK$101,'Portfolio 3_2'!$AO25,17),"")</f>
        <v>3</v>
      </c>
      <c r="U128" s="82" cm="1">
        <f t="array" ref="U128">IFERROR(INDEX('Portfolio 3_2'!$O$3:$AK$101,'Portfolio 3_2'!$AO25,18),"")</f>
        <v>15973</v>
      </c>
      <c r="V128" s="82" cm="1">
        <f t="array" ref="V128">IFERROR(INDEX('Portfolio 3_2'!$O$3:$AK$101,'Portfolio 3_2'!$AO25,19),"")</f>
        <v>479.19</v>
      </c>
      <c r="W128" s="1" t="str">
        <f t="shared" si="9"/>
        <v>1</v>
      </c>
    </row>
    <row r="129" spans="1:23">
      <c r="A129" s="92">
        <f t="shared" si="6"/>
        <v>24</v>
      </c>
      <c r="B129" s="82" t="str" cm="1">
        <f t="array" ref="B129">IFERROR(INDEX('Portfolio 3_2'!$O$3:$AK$101,'Portfolio 3_2'!$AO26,2),"")</f>
        <v>03928XXX54370</v>
      </c>
      <c r="C129" s="1" t="str">
        <f t="shared" si="7"/>
        <v>00000</v>
      </c>
      <c r="D129" s="1" t="str">
        <f t="shared" si="8"/>
        <v>บจก.</v>
      </c>
      <c r="E129" s="82" t="str" cm="1">
        <f t="array" ref="E129">IFERROR(INDEX('Portfolio 3_2'!$O$3:$AK$101,'Portfolio 3_2'!$AO26,3),"")</f>
        <v>นายพิ่งเปิดมาคงสัยหกสิบเอ็ด</v>
      </c>
      <c r="F129" s="82" t="str" cm="1">
        <f t="array" ref="F129">IFERROR(INDEX('Portfolio 3_2'!$O$3:$AK$101,'Portfolio 3_2'!$AO26,4),"")</f>
        <v/>
      </c>
      <c r="G129" s="82" t="str" cm="1">
        <f t="array" ref="G129">IFERROR(INDEX('Portfolio 3_2'!$O$3:$AK$101,'Portfolio 3_2'!$AO26,5),"")</f>
        <v/>
      </c>
      <c r="H129" s="82" t="str" cm="1">
        <f t="array" ref="H129">IFERROR(INDEX('Portfolio 3_2'!$O$3:$AK$101,'Portfolio 3_2'!$AO26,6),"")</f>
        <v/>
      </c>
      <c r="I129" s="82" t="str" cm="1">
        <f t="array" ref="I129">IFERROR(INDEX('Portfolio 3_2'!$O$3:$AK$101,'Portfolio 3_2'!$AO26,7),"")</f>
        <v>36</v>
      </c>
      <c r="J129" s="82" t="str" cm="1">
        <f t="array" ref="J129">IFERROR(INDEX('Portfolio 3_2'!$O$3:$AK$101,'Portfolio 3_2'!$AO26,8),"")</f>
        <v>350</v>
      </c>
      <c r="K129" s="82" t="str" cm="1">
        <f t="array" ref="K129">IFERROR(INDEX('Portfolio 3_2'!$O$3:$AK$101,'Portfolio 3_2'!$AO26,9),"")</f>
        <v/>
      </c>
      <c r="L129" s="82" t="str" cm="1">
        <f t="array" ref="L129">IFERROR(INDEX('Portfolio 3_2'!$O$3:$AK$101,'Portfolio 3_2'!$AO26,12),"")</f>
        <v/>
      </c>
      <c r="M129" s="82" t="str" cm="1">
        <f t="array" ref="M129">IFERROR(INDEX('Portfolio 3_2'!$O$3:$AK$101,'Portfolio 3_2'!$AO26,10),"")</f>
        <v>เชียงใหม่-สันกำแพง</v>
      </c>
      <c r="N129" s="82" t="str" cm="1">
        <f t="array" ref="N129">IFERROR(INDEX('Portfolio 3_2'!$O$3:$AK$101,'Portfolio 3_2'!$AO26,11),"")</f>
        <v>สันกำแพง</v>
      </c>
      <c r="O129" s="82" t="str" cm="1">
        <f t="array" ref="O129">IFERROR(INDEX('Portfolio 3_2'!$O$3:$AK$101,'Portfolio 3_2'!$AO26,13),"")</f>
        <v>สันกำแพง</v>
      </c>
      <c r="P129" s="82" t="str" cm="1">
        <f t="array" ref="P129">IFERROR(IF(ISNUMBER(FIND("กรุงเทพ",INDEX('Portfolio 3_2'!$O$3:$AK$101,'Portfolio 3_2'!$AO27,14))),"กรุงเทพมหานคร",INDEX('Portfolio 3_2'!$O$3:$AK$101,'Portfolio 3_2'!$AO26,14)),"")</f>
        <v>เชียงใหม่</v>
      </c>
      <c r="Q129" s="82" t="str" cm="1">
        <f t="array" ref="Q129">IFERROR(INDEX('Portfolio 3_2'!$O$3:$AK$101,'Portfolio 3_2'!$AO26,15),"")</f>
        <v>12345</v>
      </c>
      <c r="R129" s="82" t="str" cm="1">
        <f t="array" ref="R129">IFERROR(TEXT(INDEX('Portfolio 3_2'!$O$3:$AK$101,'Portfolio 3_2'!$AO26,16),"dd/mm/yyyy"),"")</f>
        <v>10/07/2563</v>
      </c>
      <c r="S129" s="82" t="str" cm="1">
        <f t="array" ref="S129">IFERROR(INDEX('Portfolio 3_2'!$O$3:$AK$101,'Portfolio 3_2'!$AO26,20),"")</f>
        <v>ค่าเบี้ยประกัน</v>
      </c>
      <c r="T129" s="82" cm="1">
        <f t="array" ref="T129">IFERROR(INDEX('Portfolio 3_2'!$O$3:$AK$101,'Portfolio 3_2'!$AO26,17),"")</f>
        <v>1</v>
      </c>
      <c r="U129" s="82" cm="1">
        <f t="array" ref="U129">IFERROR(INDEX('Portfolio 3_2'!$O$3:$AK$101,'Portfolio 3_2'!$AO26,18),"")</f>
        <v>18181</v>
      </c>
      <c r="V129" s="82" cm="1">
        <f t="array" ref="V129">IFERROR(INDEX('Portfolio 3_2'!$O$3:$AK$101,'Portfolio 3_2'!$AO26,19),"")</f>
        <v>181.81</v>
      </c>
      <c r="W129" s="1" t="str">
        <f t="shared" si="9"/>
        <v>1</v>
      </c>
    </row>
    <row r="130" spans="1:23">
      <c r="A130" s="92">
        <f t="shared" si="6"/>
        <v>25</v>
      </c>
      <c r="B130" s="82" t="str" cm="1">
        <f t="array" ref="B130">IFERROR(INDEX('Portfolio 3_2'!$O$3:$AK$101,'Portfolio 3_2'!$AO27,2),"")</f>
        <v>05451XXX62482</v>
      </c>
      <c r="C130" s="1" t="str">
        <f t="shared" si="7"/>
        <v>00000</v>
      </c>
      <c r="D130" s="1" t="str">
        <f t="shared" si="8"/>
        <v>บจก.</v>
      </c>
      <c r="E130" s="82" t="str" cm="1">
        <f t="array" ref="E130">IFERROR(INDEX('Portfolio 3_2'!$O$3:$AK$101,'Portfolio 3_2'!$AO27,3),"")</f>
        <v>นางตัวอย่างสงเจริญสิบเก้า</v>
      </c>
      <c r="F130" s="82" t="str" cm="1">
        <f t="array" ref="F130">IFERROR(INDEX('Portfolio 3_2'!$O$3:$AK$101,'Portfolio 3_2'!$AO27,4),"")</f>
        <v/>
      </c>
      <c r="G130" s="82" t="str" cm="1">
        <f t="array" ref="G130">IFERROR(INDEX('Portfolio 3_2'!$O$3:$AK$101,'Portfolio 3_2'!$AO27,5),"")</f>
        <v/>
      </c>
      <c r="H130" s="82" t="str" cm="1">
        <f t="array" ref="H130">IFERROR(INDEX('Portfolio 3_2'!$O$3:$AK$101,'Portfolio 3_2'!$AO27,6),"")</f>
        <v/>
      </c>
      <c r="I130" s="82" t="str" cm="1">
        <f t="array" ref="I130">IFERROR(INDEX('Portfolio 3_2'!$O$3:$AK$101,'Portfolio 3_2'!$AO27,7),"")</f>
        <v>3354</v>
      </c>
      <c r="J130" s="82" t="str" cm="1">
        <f t="array" ref="J130">IFERROR(INDEX('Portfolio 3_2'!$O$3:$AK$101,'Portfolio 3_2'!$AO27,8),"")</f>
        <v/>
      </c>
      <c r="K130" s="82" t="str" cm="1">
        <f t="array" ref="K130">IFERROR(INDEX('Portfolio 3_2'!$O$3:$AK$101,'Portfolio 3_2'!$AO27,9),"")</f>
        <v/>
      </c>
      <c r="L130" s="82" t="str" cm="1">
        <f t="array" ref="L130">IFERROR(INDEX('Portfolio 3_2'!$O$3:$AK$101,'Portfolio 3_2'!$AO27,12),"")</f>
        <v/>
      </c>
      <c r="M130" s="82" t="str" cm="1">
        <f t="array" ref="M130">IFERROR(INDEX('Portfolio 3_2'!$O$3:$AK$101,'Portfolio 3_2'!$AO27,10),"")</f>
        <v>พหลโยธิน</v>
      </c>
      <c r="N130" s="82" t="str" cm="1">
        <f t="array" ref="N130">IFERROR(INDEX('Portfolio 3_2'!$O$3:$AK$101,'Portfolio 3_2'!$AO27,11),"")</f>
        <v>เวียงพางคำ</v>
      </c>
      <c r="O130" s="82" t="str" cm="1">
        <f t="array" ref="O130">IFERROR(INDEX('Portfolio 3_2'!$O$3:$AK$101,'Portfolio 3_2'!$AO27,13),"")</f>
        <v>แม่สาย</v>
      </c>
      <c r="P130" s="82" t="str" cm="1">
        <f t="array" ref="P130">IFERROR(IF(ISNUMBER(FIND("กรุงเทพ",INDEX('Portfolio 3_2'!$O$3:$AK$101,'Portfolio 3_2'!$AO28,14))),"กรุงเทพมหานคร",INDEX('Portfolio 3_2'!$O$3:$AK$101,'Portfolio 3_2'!$AO27,14)),"")</f>
        <v>เชียงราย</v>
      </c>
      <c r="Q130" s="82" t="str" cm="1">
        <f t="array" ref="Q130">IFERROR(INDEX('Portfolio 3_2'!$O$3:$AK$101,'Portfolio 3_2'!$AO27,15),"")</f>
        <v>12345</v>
      </c>
      <c r="R130" s="82" t="str" cm="1">
        <f t="array" ref="R130">IFERROR(TEXT(INDEX('Portfolio 3_2'!$O$3:$AK$101,'Portfolio 3_2'!$AO27,16),"dd/mm/yyyy"),"")</f>
        <v>01/01/2564</v>
      </c>
      <c r="S130" s="82" t="str" cm="1">
        <f t="array" ref="S130">IFERROR(INDEX('Portfolio 3_2'!$O$3:$AK$101,'Portfolio 3_2'!$AO27,20),"")</f>
        <v>ค่าบริการ</v>
      </c>
      <c r="T130" s="82" cm="1">
        <f t="array" ref="T130">IFERROR(INDEX('Portfolio 3_2'!$O$3:$AK$101,'Portfolio 3_2'!$AO27,17),"")</f>
        <v>3</v>
      </c>
      <c r="U130" s="82" cm="1">
        <f t="array" ref="U130">IFERROR(INDEX('Portfolio 3_2'!$O$3:$AK$101,'Portfolio 3_2'!$AO27,18),"")</f>
        <v>28249</v>
      </c>
      <c r="V130" s="82" cm="1">
        <f t="array" ref="V130">IFERROR(INDEX('Portfolio 3_2'!$O$3:$AK$101,'Portfolio 3_2'!$AO27,19),"")</f>
        <v>847.46999999999991</v>
      </c>
      <c r="W130" s="1" t="str">
        <f t="shared" si="9"/>
        <v>1</v>
      </c>
    </row>
    <row r="131" spans="1:23">
      <c r="A131" s="92">
        <f t="shared" si="6"/>
        <v>26</v>
      </c>
      <c r="B131" s="82" t="str" cm="1">
        <f t="array" ref="B131">IFERROR(INDEX('Portfolio 3_2'!$O$3:$AK$101,'Portfolio 3_2'!$AO28,2),"")</f>
        <v>05815XXX01016</v>
      </c>
      <c r="C131" s="1" t="str">
        <f t="shared" si="7"/>
        <v>00000</v>
      </c>
      <c r="D131" s="1" t="str">
        <f t="shared" si="8"/>
        <v>บจก.</v>
      </c>
      <c r="E131" s="82" t="str" cm="1">
        <f t="array" ref="E131">IFERROR(INDEX('Portfolio 3_2'!$O$3:$AK$101,'Portfolio 3_2'!$AO28,3),"")</f>
        <v>นายพิ่งเปิดมาคงสัยยี่สิบสาม</v>
      </c>
      <c r="F131" s="82" t="str" cm="1">
        <f t="array" ref="F131">IFERROR(INDEX('Portfolio 3_2'!$O$3:$AK$101,'Portfolio 3_2'!$AO28,4),"")</f>
        <v/>
      </c>
      <c r="G131" s="82" t="str" cm="1">
        <f t="array" ref="G131">IFERROR(INDEX('Portfolio 3_2'!$O$3:$AK$101,'Portfolio 3_2'!$AO28,5),"")</f>
        <v/>
      </c>
      <c r="H131" s="82" t="str" cm="1">
        <f t="array" ref="H131">IFERROR(INDEX('Portfolio 3_2'!$O$3:$AK$101,'Portfolio 3_2'!$AO28,6),"")</f>
        <v/>
      </c>
      <c r="I131" s="82" t="str" cm="1">
        <f t="array" ref="I131">IFERROR(INDEX('Portfolio 3_2'!$O$3:$AK$101,'Portfolio 3_2'!$AO28,7),"")</f>
        <v>1234</v>
      </c>
      <c r="J131" s="82" t="str" cm="1">
        <f t="array" ref="J131">IFERROR(INDEX('Portfolio 3_2'!$O$3:$AK$101,'Portfolio 3_2'!$AO28,8),"")</f>
        <v/>
      </c>
      <c r="K131" s="82" t="str" cm="1">
        <f t="array" ref="K131">IFERROR(INDEX('Portfolio 3_2'!$O$3:$AK$101,'Portfolio 3_2'!$AO28,9),"")</f>
        <v/>
      </c>
      <c r="L131" s="82" t="str" cm="1">
        <f t="array" ref="L131">IFERROR(INDEX('Portfolio 3_2'!$O$3:$AK$101,'Portfolio 3_2'!$AO28,12),"")</f>
        <v/>
      </c>
      <c r="M131" s="82" t="str" cm="1">
        <f t="array" ref="M131">IFERROR(INDEX('Portfolio 3_2'!$O$3:$AK$101,'Portfolio 3_2'!$AO28,10),"")</f>
        <v>สุมนเทวราช</v>
      </c>
      <c r="N131" s="82" t="str" cm="1">
        <f t="array" ref="N131">IFERROR(INDEX('Portfolio 3_2'!$O$3:$AK$101,'Portfolio 3_2'!$AO28,11),"")</f>
        <v>ในเวียง</v>
      </c>
      <c r="O131" s="82" t="str" cm="1">
        <f t="array" ref="O131">IFERROR(INDEX('Portfolio 3_2'!$O$3:$AK$101,'Portfolio 3_2'!$AO28,13),"")</f>
        <v>เมือง</v>
      </c>
      <c r="P131" s="82" t="str" cm="1">
        <f t="array" ref="P131">IFERROR(IF(ISNUMBER(FIND("กรุงเทพ",INDEX('Portfolio 3_2'!$O$3:$AK$101,'Portfolio 3_2'!$AO29,14))),"กรุงเทพมหานคร",INDEX('Portfolio 3_2'!$O$3:$AK$101,'Portfolio 3_2'!$AO28,14)),"")</f>
        <v>น่าน</v>
      </c>
      <c r="Q131" s="82" t="str" cm="1">
        <f t="array" ref="Q131">IFERROR(INDEX('Portfolio 3_2'!$O$3:$AK$101,'Portfolio 3_2'!$AO28,15),"")</f>
        <v>12345</v>
      </c>
      <c r="R131" s="82" t="str" cm="1">
        <f t="array" ref="R131">IFERROR(TEXT(INDEX('Portfolio 3_2'!$O$3:$AK$101,'Portfolio 3_2'!$AO28,16),"dd/mm/yyyy"),"")</f>
        <v>22/10/2563</v>
      </c>
      <c r="S131" s="82" t="str" cm="1">
        <f t="array" ref="S131">IFERROR(INDEX('Portfolio 3_2'!$O$3:$AK$101,'Portfolio 3_2'!$AO28,20),"")</f>
        <v>ค่าโฆษณา</v>
      </c>
      <c r="T131" s="82" cm="1">
        <f t="array" ref="T131">IFERROR(INDEX('Portfolio 3_2'!$O$3:$AK$101,'Portfolio 3_2'!$AO28,17),"")</f>
        <v>2</v>
      </c>
      <c r="U131" s="82" cm="1">
        <f t="array" ref="U131">IFERROR(INDEX('Portfolio 3_2'!$O$3:$AK$101,'Portfolio 3_2'!$AO28,18),"")</f>
        <v>16339</v>
      </c>
      <c r="V131" s="82" cm="1">
        <f t="array" ref="V131">IFERROR(INDEX('Portfolio 3_2'!$O$3:$AK$101,'Portfolio 3_2'!$AO28,19),"")</f>
        <v>326.78000000000003</v>
      </c>
      <c r="W131" s="1" t="str">
        <f t="shared" si="9"/>
        <v>1</v>
      </c>
    </row>
    <row r="132" spans="1:23">
      <c r="A132" s="92" t="str">
        <f t="shared" si="6"/>
        <v/>
      </c>
      <c r="B132" s="82" t="str" cm="1">
        <f t="array" ref="B132">IFERROR(INDEX('Portfolio 3_2'!$O$3:$AK$101,'Portfolio 3_2'!$AO29,2),"")</f>
        <v/>
      </c>
      <c r="C132" s="1" t="str">
        <f t="shared" si="7"/>
        <v/>
      </c>
      <c r="D132" s="1" t="str">
        <f t="shared" si="8"/>
        <v/>
      </c>
      <c r="E132" s="82" t="str" cm="1">
        <f t="array" ref="E132">IFERROR(INDEX('Portfolio 3_2'!$O$3:$AK$101,'Portfolio 3_2'!$AO29,3),"")</f>
        <v/>
      </c>
      <c r="F132" s="82" t="str" cm="1">
        <f t="array" ref="F132">IFERROR(INDEX('Portfolio 3_2'!$O$3:$AK$101,'Portfolio 3_2'!$AO29,4),"")</f>
        <v/>
      </c>
      <c r="G132" s="82" t="str" cm="1">
        <f t="array" ref="G132">IFERROR(INDEX('Portfolio 3_2'!$O$3:$AK$101,'Portfolio 3_2'!$AO29,5),"")</f>
        <v/>
      </c>
      <c r="H132" s="82" t="str" cm="1">
        <f t="array" ref="H132">IFERROR(INDEX('Portfolio 3_2'!$O$3:$AK$101,'Portfolio 3_2'!$AO29,6),"")</f>
        <v/>
      </c>
      <c r="I132" s="82" t="str" cm="1">
        <f t="array" ref="I132">IFERROR(INDEX('Portfolio 3_2'!$O$3:$AK$101,'Portfolio 3_2'!$AO29,7),"")</f>
        <v/>
      </c>
      <c r="J132" s="82" t="str" cm="1">
        <f t="array" ref="J132">IFERROR(INDEX('Portfolio 3_2'!$O$3:$AK$101,'Portfolio 3_2'!$AO29,8),"")</f>
        <v/>
      </c>
      <c r="K132" s="82" t="str" cm="1">
        <f t="array" ref="K132">IFERROR(INDEX('Portfolio 3_2'!$O$3:$AK$101,'Portfolio 3_2'!$AO29,9),"")</f>
        <v/>
      </c>
      <c r="L132" s="82" t="str" cm="1">
        <f t="array" ref="L132">IFERROR(INDEX('Portfolio 3_2'!$O$3:$AK$101,'Portfolio 3_2'!$AO29,12),"")</f>
        <v/>
      </c>
      <c r="M132" s="82" t="str" cm="1">
        <f t="array" ref="M132">IFERROR(INDEX('Portfolio 3_2'!$O$3:$AK$101,'Portfolio 3_2'!$AO29,10),"")</f>
        <v/>
      </c>
      <c r="N132" s="82" t="str" cm="1">
        <f t="array" ref="N132">IFERROR(INDEX('Portfolio 3_2'!$O$3:$AK$101,'Portfolio 3_2'!$AO29,11),"")</f>
        <v/>
      </c>
      <c r="O132" s="82" t="str" cm="1">
        <f t="array" ref="O132">IFERROR(INDEX('Portfolio 3_2'!$O$3:$AK$101,'Portfolio 3_2'!$AO29,13),"")</f>
        <v/>
      </c>
      <c r="P132" s="82" t="str" cm="1">
        <f t="array" ref="P132">IFERROR(IF(ISNUMBER(FIND("กรุงเทพ",INDEX('Portfolio 3_2'!$O$3:$AK$101,'Portfolio 3_2'!$AO30,14))),"กรุงเทพมหานคร",INDEX('Portfolio 3_2'!$O$3:$AK$101,'Portfolio 3_2'!$AO29,14)),"")</f>
        <v/>
      </c>
      <c r="Q132" s="82" t="str" cm="1">
        <f t="array" ref="Q132">IFERROR(INDEX('Portfolio 3_2'!$O$3:$AK$101,'Portfolio 3_2'!$AO29,15),"")</f>
        <v/>
      </c>
      <c r="R132" s="82" t="str" cm="1">
        <f t="array" ref="R132">IFERROR(TEXT(INDEX('Portfolio 3_2'!$O$3:$AK$101,'Portfolio 3_2'!$AO29,16),"dd/mm/yyyy"),"")</f>
        <v/>
      </c>
      <c r="S132" s="82" t="str" cm="1">
        <f t="array" ref="S132">IFERROR(INDEX('Portfolio 3_2'!$O$3:$AK$101,'Portfolio 3_2'!$AO29,20),"")</f>
        <v/>
      </c>
      <c r="T132" s="82" t="str" cm="1">
        <f t="array" ref="T132">IFERROR(INDEX('Portfolio 3_2'!$O$3:$AK$101,'Portfolio 3_2'!$AO29,17),"")</f>
        <v/>
      </c>
      <c r="U132" s="82" t="str" cm="1">
        <f t="array" ref="U132">IFERROR(INDEX('Portfolio 3_2'!$O$3:$AK$101,'Portfolio 3_2'!$AO29,18),"")</f>
        <v/>
      </c>
      <c r="V132" s="82" t="str" cm="1">
        <f t="array" ref="V132">IFERROR(INDEX('Portfolio 3_2'!$O$3:$AK$101,'Portfolio 3_2'!$AO29,19),"")</f>
        <v/>
      </c>
      <c r="W132" s="1" t="str">
        <f t="shared" si="9"/>
        <v/>
      </c>
    </row>
    <row r="133" spans="1:23">
      <c r="A133" s="92" t="str">
        <f t="shared" si="6"/>
        <v/>
      </c>
      <c r="B133" s="82" t="str" cm="1">
        <f t="array" ref="B133">IFERROR(INDEX('Portfolio 3_2'!$O$3:$AK$101,'Portfolio 3_2'!$AO30,2),"")</f>
        <v/>
      </c>
      <c r="C133" s="1" t="str">
        <f t="shared" si="7"/>
        <v/>
      </c>
      <c r="D133" s="1" t="str">
        <f t="shared" si="8"/>
        <v/>
      </c>
      <c r="E133" s="82" t="str" cm="1">
        <f t="array" ref="E133">IFERROR(INDEX('Portfolio 3_2'!$O$3:$AK$101,'Portfolio 3_2'!$AO30,3),"")</f>
        <v/>
      </c>
      <c r="F133" s="82" t="str" cm="1">
        <f t="array" ref="F133">IFERROR(INDEX('Portfolio 3_2'!$O$3:$AK$101,'Portfolio 3_2'!$AO30,4),"")</f>
        <v/>
      </c>
      <c r="G133" s="82" t="str" cm="1">
        <f t="array" ref="G133">IFERROR(INDEX('Portfolio 3_2'!$O$3:$AK$101,'Portfolio 3_2'!$AO30,5),"")</f>
        <v/>
      </c>
      <c r="H133" s="82" t="str" cm="1">
        <f t="array" ref="H133">IFERROR(INDEX('Portfolio 3_2'!$O$3:$AK$101,'Portfolio 3_2'!$AO30,6),"")</f>
        <v/>
      </c>
      <c r="I133" s="82" t="str" cm="1">
        <f t="array" ref="I133">IFERROR(INDEX('Portfolio 3_2'!$O$3:$AK$101,'Portfolio 3_2'!$AO30,7),"")</f>
        <v/>
      </c>
      <c r="J133" s="82" t="str" cm="1">
        <f t="array" ref="J133">IFERROR(INDEX('Portfolio 3_2'!$O$3:$AK$101,'Portfolio 3_2'!$AO30,8),"")</f>
        <v/>
      </c>
      <c r="K133" s="82" t="str" cm="1">
        <f t="array" ref="K133">IFERROR(INDEX('Portfolio 3_2'!$O$3:$AK$101,'Portfolio 3_2'!$AO30,9),"")</f>
        <v/>
      </c>
      <c r="L133" s="82" t="str" cm="1">
        <f t="array" ref="L133">IFERROR(INDEX('Portfolio 3_2'!$O$3:$AK$101,'Portfolio 3_2'!$AO30,12),"")</f>
        <v/>
      </c>
      <c r="M133" s="82" t="str" cm="1">
        <f t="array" ref="M133">IFERROR(INDEX('Portfolio 3_2'!$O$3:$AK$101,'Portfolio 3_2'!$AO30,10),"")</f>
        <v/>
      </c>
      <c r="N133" s="82" t="str" cm="1">
        <f t="array" ref="N133">IFERROR(INDEX('Portfolio 3_2'!$O$3:$AK$101,'Portfolio 3_2'!$AO30,11),"")</f>
        <v/>
      </c>
      <c r="O133" s="82" t="str" cm="1">
        <f t="array" ref="O133">IFERROR(INDEX('Portfolio 3_2'!$O$3:$AK$101,'Portfolio 3_2'!$AO30,13),"")</f>
        <v/>
      </c>
      <c r="P133" s="82" t="str" cm="1">
        <f t="array" ref="P133">IFERROR(IF(ISNUMBER(FIND("กรุงเทพ",INDEX('Portfolio 3_2'!$O$3:$AK$101,'Portfolio 3_2'!$AO31,14))),"กรุงเทพมหานคร",INDEX('Portfolio 3_2'!$O$3:$AK$101,'Portfolio 3_2'!$AO30,14)),"")</f>
        <v/>
      </c>
      <c r="Q133" s="82" t="str" cm="1">
        <f t="array" ref="Q133">IFERROR(INDEX('Portfolio 3_2'!$O$3:$AK$101,'Portfolio 3_2'!$AO30,15),"")</f>
        <v/>
      </c>
      <c r="R133" s="82" t="str" cm="1">
        <f t="array" ref="R133">IFERROR(TEXT(INDEX('Portfolio 3_2'!$O$3:$AK$101,'Portfolio 3_2'!$AO30,16),"dd/mm/yyyy"),"")</f>
        <v/>
      </c>
      <c r="S133" s="82" t="str" cm="1">
        <f t="array" ref="S133">IFERROR(INDEX('Portfolio 3_2'!$O$3:$AK$101,'Portfolio 3_2'!$AO30,20),"")</f>
        <v/>
      </c>
      <c r="T133" s="82" t="str" cm="1">
        <f t="array" ref="T133">IFERROR(INDEX('Portfolio 3_2'!$O$3:$AK$101,'Portfolio 3_2'!$AO30,17),"")</f>
        <v/>
      </c>
      <c r="U133" s="82" t="str" cm="1">
        <f t="array" ref="U133">IFERROR(INDEX('Portfolio 3_2'!$O$3:$AK$101,'Portfolio 3_2'!$AO30,18),"")</f>
        <v/>
      </c>
      <c r="V133" s="82" t="str" cm="1">
        <f t="array" ref="V133">IFERROR(INDEX('Portfolio 3_2'!$O$3:$AK$101,'Portfolio 3_2'!$AO30,19),"")</f>
        <v/>
      </c>
      <c r="W133" s="1" t="str">
        <f t="shared" si="9"/>
        <v/>
      </c>
    </row>
    <row r="134" spans="1:23">
      <c r="A134" s="92" t="str">
        <f t="shared" si="6"/>
        <v/>
      </c>
      <c r="B134" s="82" t="str" cm="1">
        <f t="array" ref="B134">IFERROR(INDEX('Portfolio 3_2'!$O$3:$AK$101,'Portfolio 3_2'!$AO31,2),"")</f>
        <v/>
      </c>
      <c r="C134" s="1" t="str">
        <f t="shared" si="7"/>
        <v/>
      </c>
      <c r="D134" s="1" t="str">
        <f t="shared" si="8"/>
        <v/>
      </c>
      <c r="E134" s="82" t="str" cm="1">
        <f t="array" ref="E134">IFERROR(INDEX('Portfolio 3_2'!$O$3:$AK$101,'Portfolio 3_2'!$AO31,3),"")</f>
        <v/>
      </c>
      <c r="F134" s="82" t="str" cm="1">
        <f t="array" ref="F134">IFERROR(INDEX('Portfolio 3_2'!$O$3:$AK$101,'Portfolio 3_2'!$AO31,4),"")</f>
        <v/>
      </c>
      <c r="G134" s="82" t="str" cm="1">
        <f t="array" ref="G134">IFERROR(INDEX('Portfolio 3_2'!$O$3:$AK$101,'Portfolio 3_2'!$AO31,5),"")</f>
        <v/>
      </c>
      <c r="H134" s="82" t="str" cm="1">
        <f t="array" ref="H134">IFERROR(INDEX('Portfolio 3_2'!$O$3:$AK$101,'Portfolio 3_2'!$AO31,6),"")</f>
        <v/>
      </c>
      <c r="I134" s="82" t="str" cm="1">
        <f t="array" ref="I134">IFERROR(INDEX('Portfolio 3_2'!$O$3:$AK$101,'Portfolio 3_2'!$AO31,7),"")</f>
        <v/>
      </c>
      <c r="J134" s="82" t="str" cm="1">
        <f t="array" ref="J134">IFERROR(INDEX('Portfolio 3_2'!$O$3:$AK$101,'Portfolio 3_2'!$AO31,8),"")</f>
        <v/>
      </c>
      <c r="K134" s="82" t="str" cm="1">
        <f t="array" ref="K134">IFERROR(INDEX('Portfolio 3_2'!$O$3:$AK$101,'Portfolio 3_2'!$AO31,9),"")</f>
        <v/>
      </c>
      <c r="L134" s="82" t="str" cm="1">
        <f t="array" ref="L134">IFERROR(INDEX('Portfolio 3_2'!$O$3:$AK$101,'Portfolio 3_2'!$AO31,12),"")</f>
        <v/>
      </c>
      <c r="M134" s="82" t="str" cm="1">
        <f t="array" ref="M134">IFERROR(INDEX('Portfolio 3_2'!$O$3:$AK$101,'Portfolio 3_2'!$AO31,10),"")</f>
        <v/>
      </c>
      <c r="N134" s="82" t="str" cm="1">
        <f t="array" ref="N134">IFERROR(INDEX('Portfolio 3_2'!$O$3:$AK$101,'Portfolio 3_2'!$AO31,11),"")</f>
        <v/>
      </c>
      <c r="O134" s="82" t="str" cm="1">
        <f t="array" ref="O134">IFERROR(INDEX('Portfolio 3_2'!$O$3:$AK$101,'Portfolio 3_2'!$AO31,13),"")</f>
        <v/>
      </c>
      <c r="P134" s="82" t="str" cm="1">
        <f t="array" ref="P134">IFERROR(IF(ISNUMBER(FIND("กรุงเทพ",INDEX('Portfolio 3_2'!$O$3:$AK$101,'Portfolio 3_2'!$AO32,14))),"กรุงเทพมหานคร",INDEX('Portfolio 3_2'!$O$3:$AK$101,'Portfolio 3_2'!$AO31,14)),"")</f>
        <v/>
      </c>
      <c r="Q134" s="82" t="str" cm="1">
        <f t="array" ref="Q134">IFERROR(INDEX('Portfolio 3_2'!$O$3:$AK$101,'Portfolio 3_2'!$AO31,15),"")</f>
        <v/>
      </c>
      <c r="R134" s="82" t="str" cm="1">
        <f t="array" ref="R134">IFERROR(TEXT(INDEX('Portfolio 3_2'!$O$3:$AK$101,'Portfolio 3_2'!$AO31,16),"dd/mm/yyyy"),"")</f>
        <v/>
      </c>
      <c r="S134" s="82" t="str" cm="1">
        <f t="array" ref="S134">IFERROR(INDEX('Portfolio 3_2'!$O$3:$AK$101,'Portfolio 3_2'!$AO31,20),"")</f>
        <v/>
      </c>
      <c r="T134" s="82" t="str" cm="1">
        <f t="array" ref="T134">IFERROR(INDEX('Portfolio 3_2'!$O$3:$AK$101,'Portfolio 3_2'!$AO31,17),"")</f>
        <v/>
      </c>
      <c r="U134" s="82" t="str" cm="1">
        <f t="array" ref="U134">IFERROR(INDEX('Portfolio 3_2'!$O$3:$AK$101,'Portfolio 3_2'!$AO31,18),"")</f>
        <v/>
      </c>
      <c r="V134" s="82" t="str" cm="1">
        <f t="array" ref="V134">IFERROR(INDEX('Portfolio 3_2'!$O$3:$AK$101,'Portfolio 3_2'!$AO31,19),"")</f>
        <v/>
      </c>
      <c r="W134" s="1" t="str">
        <f t="shared" si="9"/>
        <v/>
      </c>
    </row>
    <row r="135" spans="1:23">
      <c r="A135" s="92" t="str">
        <f t="shared" si="6"/>
        <v/>
      </c>
      <c r="B135" s="82" t="str" cm="1">
        <f t="array" ref="B135">IFERROR(INDEX('Portfolio 3_2'!$O$3:$AK$101,'Portfolio 3_2'!$AO32,2),"")</f>
        <v/>
      </c>
      <c r="C135" s="1" t="str">
        <f t="shared" si="7"/>
        <v/>
      </c>
      <c r="D135" s="1" t="str">
        <f t="shared" si="8"/>
        <v/>
      </c>
      <c r="E135" s="82" t="str" cm="1">
        <f t="array" ref="E135">IFERROR(INDEX('Portfolio 3_2'!$O$3:$AK$101,'Portfolio 3_2'!$AO32,3),"")</f>
        <v/>
      </c>
      <c r="F135" s="82" t="str" cm="1">
        <f t="array" ref="F135">IFERROR(INDEX('Portfolio 3_2'!$O$3:$AK$101,'Portfolio 3_2'!$AO32,4),"")</f>
        <v/>
      </c>
      <c r="G135" s="82" t="str" cm="1">
        <f t="array" ref="G135">IFERROR(INDEX('Portfolio 3_2'!$O$3:$AK$101,'Portfolio 3_2'!$AO32,5),"")</f>
        <v/>
      </c>
      <c r="H135" s="82" t="str" cm="1">
        <f t="array" ref="H135">IFERROR(INDEX('Portfolio 3_2'!$O$3:$AK$101,'Portfolio 3_2'!$AO32,6),"")</f>
        <v/>
      </c>
      <c r="I135" s="82" t="str" cm="1">
        <f t="array" ref="I135">IFERROR(INDEX('Portfolio 3_2'!$O$3:$AK$101,'Portfolio 3_2'!$AO32,7),"")</f>
        <v/>
      </c>
      <c r="J135" s="82" t="str" cm="1">
        <f t="array" ref="J135">IFERROR(INDEX('Portfolio 3_2'!$O$3:$AK$101,'Portfolio 3_2'!$AO32,8),"")</f>
        <v/>
      </c>
      <c r="K135" s="82" t="str" cm="1">
        <f t="array" ref="K135">IFERROR(INDEX('Portfolio 3_2'!$O$3:$AK$101,'Portfolio 3_2'!$AO32,9),"")</f>
        <v/>
      </c>
      <c r="L135" s="82" t="str" cm="1">
        <f t="array" ref="L135">IFERROR(INDEX('Portfolio 3_2'!$O$3:$AK$101,'Portfolio 3_2'!$AO32,12),"")</f>
        <v/>
      </c>
      <c r="M135" s="82" t="str" cm="1">
        <f t="array" ref="M135">IFERROR(INDEX('Portfolio 3_2'!$O$3:$AK$101,'Portfolio 3_2'!$AO32,10),"")</f>
        <v/>
      </c>
      <c r="N135" s="82" t="str" cm="1">
        <f t="array" ref="N135">IFERROR(INDEX('Portfolio 3_2'!$O$3:$AK$101,'Portfolio 3_2'!$AO32,11),"")</f>
        <v/>
      </c>
      <c r="O135" s="82" t="str" cm="1">
        <f t="array" ref="O135">IFERROR(INDEX('Portfolio 3_2'!$O$3:$AK$101,'Portfolio 3_2'!$AO32,13),"")</f>
        <v/>
      </c>
      <c r="P135" s="82" t="str" cm="1">
        <f t="array" ref="P135">IFERROR(IF(ISNUMBER(FIND("กรุงเทพ",INDEX('Portfolio 3_2'!$O$3:$AK$101,'Portfolio 3_2'!$AO33,14))),"กรุงเทพมหานคร",INDEX('Portfolio 3_2'!$O$3:$AK$101,'Portfolio 3_2'!$AO32,14)),"")</f>
        <v/>
      </c>
      <c r="Q135" s="82" t="str" cm="1">
        <f t="array" ref="Q135">IFERROR(INDEX('Portfolio 3_2'!$O$3:$AK$101,'Portfolio 3_2'!$AO32,15),"")</f>
        <v/>
      </c>
      <c r="R135" s="82" t="str" cm="1">
        <f t="array" ref="R135">IFERROR(TEXT(INDEX('Portfolio 3_2'!$O$3:$AK$101,'Portfolio 3_2'!$AO32,16),"dd/mm/yyyy"),"")</f>
        <v/>
      </c>
      <c r="S135" s="82" t="str" cm="1">
        <f t="array" ref="S135">IFERROR(INDEX('Portfolio 3_2'!$O$3:$AK$101,'Portfolio 3_2'!$AO32,20),"")</f>
        <v/>
      </c>
      <c r="T135" s="82" t="str" cm="1">
        <f t="array" ref="T135">IFERROR(INDEX('Portfolio 3_2'!$O$3:$AK$101,'Portfolio 3_2'!$AO32,17),"")</f>
        <v/>
      </c>
      <c r="U135" s="82" t="str" cm="1">
        <f t="array" ref="U135">IFERROR(INDEX('Portfolio 3_2'!$O$3:$AK$101,'Portfolio 3_2'!$AO32,18),"")</f>
        <v/>
      </c>
      <c r="V135" s="82" t="str" cm="1">
        <f t="array" ref="V135">IFERROR(INDEX('Portfolio 3_2'!$O$3:$AK$101,'Portfolio 3_2'!$AO32,19),"")</f>
        <v/>
      </c>
      <c r="W135" s="1" t="str">
        <f t="shared" si="9"/>
        <v/>
      </c>
    </row>
    <row r="136" spans="1:23">
      <c r="A136" s="92" t="str">
        <f t="shared" si="6"/>
        <v/>
      </c>
      <c r="B136" s="82" t="str" cm="1">
        <f t="array" ref="B136">IFERROR(INDEX('Portfolio 3_2'!$O$3:$AK$101,'Portfolio 3_2'!$AO33,2),"")</f>
        <v/>
      </c>
      <c r="C136" s="1" t="str">
        <f t="shared" si="7"/>
        <v/>
      </c>
      <c r="D136" s="1" t="str">
        <f t="shared" si="8"/>
        <v/>
      </c>
      <c r="E136" s="82" t="str" cm="1">
        <f t="array" ref="E136">IFERROR(INDEX('Portfolio 3_2'!$O$3:$AK$101,'Portfolio 3_2'!$AO33,3),"")</f>
        <v/>
      </c>
      <c r="F136" s="82" t="str" cm="1">
        <f t="array" ref="F136">IFERROR(INDEX('Portfolio 3_2'!$O$3:$AK$101,'Portfolio 3_2'!$AO33,4),"")</f>
        <v/>
      </c>
      <c r="G136" s="82" t="str" cm="1">
        <f t="array" ref="G136">IFERROR(INDEX('Portfolio 3_2'!$O$3:$AK$101,'Portfolio 3_2'!$AO33,5),"")</f>
        <v/>
      </c>
      <c r="H136" s="82" t="str" cm="1">
        <f t="array" ref="H136">IFERROR(INDEX('Portfolio 3_2'!$O$3:$AK$101,'Portfolio 3_2'!$AO33,6),"")</f>
        <v/>
      </c>
      <c r="I136" s="82" t="str" cm="1">
        <f t="array" ref="I136">IFERROR(INDEX('Portfolio 3_2'!$O$3:$AK$101,'Portfolio 3_2'!$AO33,7),"")</f>
        <v/>
      </c>
      <c r="J136" s="82" t="str" cm="1">
        <f t="array" ref="J136">IFERROR(INDEX('Portfolio 3_2'!$O$3:$AK$101,'Portfolio 3_2'!$AO33,8),"")</f>
        <v/>
      </c>
      <c r="K136" s="82" t="str" cm="1">
        <f t="array" ref="K136">IFERROR(INDEX('Portfolio 3_2'!$O$3:$AK$101,'Portfolio 3_2'!$AO33,9),"")</f>
        <v/>
      </c>
      <c r="L136" s="82" t="str" cm="1">
        <f t="array" ref="L136">IFERROR(INDEX('Portfolio 3_2'!$O$3:$AK$101,'Portfolio 3_2'!$AO33,12),"")</f>
        <v/>
      </c>
      <c r="M136" s="82" t="str" cm="1">
        <f t="array" ref="M136">IFERROR(INDEX('Portfolio 3_2'!$O$3:$AK$101,'Portfolio 3_2'!$AO33,10),"")</f>
        <v/>
      </c>
      <c r="N136" s="82" t="str" cm="1">
        <f t="array" ref="N136">IFERROR(INDEX('Portfolio 3_2'!$O$3:$AK$101,'Portfolio 3_2'!$AO33,11),"")</f>
        <v/>
      </c>
      <c r="O136" s="82" t="str" cm="1">
        <f t="array" ref="O136">IFERROR(INDEX('Portfolio 3_2'!$O$3:$AK$101,'Portfolio 3_2'!$AO33,13),"")</f>
        <v/>
      </c>
      <c r="P136" s="82" t="str" cm="1">
        <f t="array" ref="P136">IFERROR(IF(ISNUMBER(FIND("กรุงเทพ",INDEX('Portfolio 3_2'!$O$3:$AK$101,'Portfolio 3_2'!$AO34,14))),"กรุงเทพมหานคร",INDEX('Portfolio 3_2'!$O$3:$AK$101,'Portfolio 3_2'!$AO33,14)),"")</f>
        <v/>
      </c>
      <c r="Q136" s="82" t="str" cm="1">
        <f t="array" ref="Q136">IFERROR(INDEX('Portfolio 3_2'!$O$3:$AK$101,'Portfolio 3_2'!$AO33,15),"")</f>
        <v/>
      </c>
      <c r="R136" s="82" t="str" cm="1">
        <f t="array" ref="R136">IFERROR(TEXT(INDEX('Portfolio 3_2'!$O$3:$AK$101,'Portfolio 3_2'!$AO33,16),"dd/mm/yyyy"),"")</f>
        <v/>
      </c>
      <c r="S136" s="82" t="str" cm="1">
        <f t="array" ref="S136">IFERROR(INDEX('Portfolio 3_2'!$O$3:$AK$101,'Portfolio 3_2'!$AO33,20),"")</f>
        <v/>
      </c>
      <c r="T136" s="82" t="str" cm="1">
        <f t="array" ref="T136">IFERROR(INDEX('Portfolio 3_2'!$O$3:$AK$101,'Portfolio 3_2'!$AO33,17),"")</f>
        <v/>
      </c>
      <c r="U136" s="82" t="str" cm="1">
        <f t="array" ref="U136">IFERROR(INDEX('Portfolio 3_2'!$O$3:$AK$101,'Portfolio 3_2'!$AO33,18),"")</f>
        <v/>
      </c>
      <c r="V136" s="82" t="str" cm="1">
        <f t="array" ref="V136">IFERROR(INDEX('Portfolio 3_2'!$O$3:$AK$101,'Portfolio 3_2'!$AO33,19),"")</f>
        <v/>
      </c>
      <c r="W136" s="1" t="str">
        <f t="shared" si="9"/>
        <v/>
      </c>
    </row>
    <row r="137" spans="1:23">
      <c r="A137" s="92" t="str">
        <f t="shared" si="6"/>
        <v/>
      </c>
      <c r="B137" s="82" t="str" cm="1">
        <f t="array" ref="B137">IFERROR(INDEX('Portfolio 3_2'!$O$3:$AK$101,'Portfolio 3_2'!$AO34,2),"")</f>
        <v/>
      </c>
      <c r="C137" s="1" t="str">
        <f t="shared" si="7"/>
        <v/>
      </c>
      <c r="D137" s="1" t="str">
        <f t="shared" si="8"/>
        <v/>
      </c>
      <c r="E137" s="82" t="str" cm="1">
        <f t="array" ref="E137">IFERROR(INDEX('Portfolio 3_2'!$O$3:$AK$101,'Portfolio 3_2'!$AO34,3),"")</f>
        <v/>
      </c>
      <c r="F137" s="82" t="str" cm="1">
        <f t="array" ref="F137">IFERROR(INDEX('Portfolio 3_2'!$O$3:$AK$101,'Portfolio 3_2'!$AO34,4),"")</f>
        <v/>
      </c>
      <c r="G137" s="82" t="str" cm="1">
        <f t="array" ref="G137">IFERROR(INDEX('Portfolio 3_2'!$O$3:$AK$101,'Portfolio 3_2'!$AO34,5),"")</f>
        <v/>
      </c>
      <c r="H137" s="82" t="str" cm="1">
        <f t="array" ref="H137">IFERROR(INDEX('Portfolio 3_2'!$O$3:$AK$101,'Portfolio 3_2'!$AO34,6),"")</f>
        <v/>
      </c>
      <c r="I137" s="82" t="str" cm="1">
        <f t="array" ref="I137">IFERROR(INDEX('Portfolio 3_2'!$O$3:$AK$101,'Portfolio 3_2'!$AO34,7),"")</f>
        <v/>
      </c>
      <c r="J137" s="82" t="str" cm="1">
        <f t="array" ref="J137">IFERROR(INDEX('Portfolio 3_2'!$O$3:$AK$101,'Portfolio 3_2'!$AO34,8),"")</f>
        <v/>
      </c>
      <c r="K137" s="82" t="str" cm="1">
        <f t="array" ref="K137">IFERROR(INDEX('Portfolio 3_2'!$O$3:$AK$101,'Portfolio 3_2'!$AO34,9),"")</f>
        <v/>
      </c>
      <c r="L137" s="82" t="str" cm="1">
        <f t="array" ref="L137">IFERROR(INDEX('Portfolio 3_2'!$O$3:$AK$101,'Portfolio 3_2'!$AO34,12),"")</f>
        <v/>
      </c>
      <c r="M137" s="82" t="str" cm="1">
        <f t="array" ref="M137">IFERROR(INDEX('Portfolio 3_2'!$O$3:$AK$101,'Portfolio 3_2'!$AO34,10),"")</f>
        <v/>
      </c>
      <c r="N137" s="82" t="str" cm="1">
        <f t="array" ref="N137">IFERROR(INDEX('Portfolio 3_2'!$O$3:$AK$101,'Portfolio 3_2'!$AO34,11),"")</f>
        <v/>
      </c>
      <c r="O137" s="82" t="str" cm="1">
        <f t="array" ref="O137">IFERROR(INDEX('Portfolio 3_2'!$O$3:$AK$101,'Portfolio 3_2'!$AO34,13),"")</f>
        <v/>
      </c>
      <c r="P137" s="82" t="str" cm="1">
        <f t="array" ref="P137">IFERROR(IF(ISNUMBER(FIND("กรุงเทพ",INDEX('Portfolio 3_2'!$O$3:$AK$101,'Portfolio 3_2'!$AO35,14))),"กรุงเทพมหานคร",INDEX('Portfolio 3_2'!$O$3:$AK$101,'Portfolio 3_2'!$AO34,14)),"")</f>
        <v/>
      </c>
      <c r="Q137" s="82" t="str" cm="1">
        <f t="array" ref="Q137">IFERROR(INDEX('Portfolio 3_2'!$O$3:$AK$101,'Portfolio 3_2'!$AO34,15),"")</f>
        <v/>
      </c>
      <c r="R137" s="82" t="str" cm="1">
        <f t="array" ref="R137">IFERROR(TEXT(INDEX('Portfolio 3_2'!$O$3:$AK$101,'Portfolio 3_2'!$AO34,16),"dd/mm/yyyy"),"")</f>
        <v/>
      </c>
      <c r="S137" s="82" t="str" cm="1">
        <f t="array" ref="S137">IFERROR(INDEX('Portfolio 3_2'!$O$3:$AK$101,'Portfolio 3_2'!$AO34,20),"")</f>
        <v/>
      </c>
      <c r="T137" s="82" t="str" cm="1">
        <f t="array" ref="T137">IFERROR(INDEX('Portfolio 3_2'!$O$3:$AK$101,'Portfolio 3_2'!$AO34,17),"")</f>
        <v/>
      </c>
      <c r="U137" s="82" t="str" cm="1">
        <f t="array" ref="U137">IFERROR(INDEX('Portfolio 3_2'!$O$3:$AK$101,'Portfolio 3_2'!$AO34,18),"")</f>
        <v/>
      </c>
      <c r="V137" s="82" t="str" cm="1">
        <f t="array" ref="V137">IFERROR(INDEX('Portfolio 3_2'!$O$3:$AK$101,'Portfolio 3_2'!$AO34,19),"")</f>
        <v/>
      </c>
      <c r="W137" s="1" t="str">
        <f t="shared" si="9"/>
        <v/>
      </c>
    </row>
    <row r="138" spans="1:23">
      <c r="A138" s="92" t="str">
        <f t="shared" si="6"/>
        <v/>
      </c>
      <c r="B138" s="82" t="str" cm="1">
        <f t="array" ref="B138">IFERROR(INDEX('Portfolio 3_2'!$O$3:$AK$101,'Portfolio 3_2'!$AO35,2),"")</f>
        <v/>
      </c>
      <c r="C138" s="1" t="str">
        <f t="shared" si="7"/>
        <v/>
      </c>
      <c r="D138" s="1" t="str">
        <f t="shared" si="8"/>
        <v/>
      </c>
      <c r="E138" s="82" t="str" cm="1">
        <f t="array" ref="E138">IFERROR(INDEX('Portfolio 3_2'!$O$3:$AK$101,'Portfolio 3_2'!$AO35,3),"")</f>
        <v/>
      </c>
      <c r="F138" s="82" t="str" cm="1">
        <f t="array" ref="F138">IFERROR(INDEX('Portfolio 3_2'!$O$3:$AK$101,'Portfolio 3_2'!$AO35,4),"")</f>
        <v/>
      </c>
      <c r="G138" s="82" t="str" cm="1">
        <f t="array" ref="G138">IFERROR(INDEX('Portfolio 3_2'!$O$3:$AK$101,'Portfolio 3_2'!$AO35,5),"")</f>
        <v/>
      </c>
      <c r="H138" s="82" t="str" cm="1">
        <f t="array" ref="H138">IFERROR(INDEX('Portfolio 3_2'!$O$3:$AK$101,'Portfolio 3_2'!$AO35,6),"")</f>
        <v/>
      </c>
      <c r="I138" s="82" t="str" cm="1">
        <f t="array" ref="I138">IFERROR(INDEX('Portfolio 3_2'!$O$3:$AK$101,'Portfolio 3_2'!$AO35,7),"")</f>
        <v/>
      </c>
      <c r="J138" s="82" t="str" cm="1">
        <f t="array" ref="J138">IFERROR(INDEX('Portfolio 3_2'!$O$3:$AK$101,'Portfolio 3_2'!$AO35,8),"")</f>
        <v/>
      </c>
      <c r="K138" s="82" t="str" cm="1">
        <f t="array" ref="K138">IFERROR(INDEX('Portfolio 3_2'!$O$3:$AK$101,'Portfolio 3_2'!$AO35,9),"")</f>
        <v/>
      </c>
      <c r="L138" s="82" t="str" cm="1">
        <f t="array" ref="L138">IFERROR(INDEX('Portfolio 3_2'!$O$3:$AK$101,'Portfolio 3_2'!$AO35,12),"")</f>
        <v/>
      </c>
      <c r="M138" s="82" t="str" cm="1">
        <f t="array" ref="M138">IFERROR(INDEX('Portfolio 3_2'!$O$3:$AK$101,'Portfolio 3_2'!$AO35,10),"")</f>
        <v/>
      </c>
      <c r="N138" s="82" t="str" cm="1">
        <f t="array" ref="N138">IFERROR(INDEX('Portfolio 3_2'!$O$3:$AK$101,'Portfolio 3_2'!$AO35,11),"")</f>
        <v/>
      </c>
      <c r="O138" s="82" t="str" cm="1">
        <f t="array" ref="O138">IFERROR(INDEX('Portfolio 3_2'!$O$3:$AK$101,'Portfolio 3_2'!$AO35,13),"")</f>
        <v/>
      </c>
      <c r="P138" s="82" t="str" cm="1">
        <f t="array" ref="P138">IFERROR(IF(ISNUMBER(FIND("กรุงเทพ",INDEX('Portfolio 3_2'!$O$3:$AK$101,'Portfolio 3_2'!$AO36,14))),"กรุงเทพมหานคร",INDEX('Portfolio 3_2'!$O$3:$AK$101,'Portfolio 3_2'!$AO35,14)),"")</f>
        <v/>
      </c>
      <c r="Q138" s="82" t="str" cm="1">
        <f t="array" ref="Q138">IFERROR(INDEX('Portfolio 3_2'!$O$3:$AK$101,'Portfolio 3_2'!$AO35,15),"")</f>
        <v/>
      </c>
      <c r="R138" s="82" t="str" cm="1">
        <f t="array" ref="R138">IFERROR(TEXT(INDEX('Portfolio 3_2'!$O$3:$AK$101,'Portfolio 3_2'!$AO35,16),"dd/mm/yyyy"),"")</f>
        <v/>
      </c>
      <c r="S138" s="82" t="str" cm="1">
        <f t="array" ref="S138">IFERROR(INDEX('Portfolio 3_2'!$O$3:$AK$101,'Portfolio 3_2'!$AO35,20),"")</f>
        <v/>
      </c>
      <c r="T138" s="82" t="str" cm="1">
        <f t="array" ref="T138">IFERROR(INDEX('Portfolio 3_2'!$O$3:$AK$101,'Portfolio 3_2'!$AO35,17),"")</f>
        <v/>
      </c>
      <c r="U138" s="82" t="str" cm="1">
        <f t="array" ref="U138">IFERROR(INDEX('Portfolio 3_2'!$O$3:$AK$101,'Portfolio 3_2'!$AO35,18),"")</f>
        <v/>
      </c>
      <c r="V138" s="82" t="str" cm="1">
        <f t="array" ref="V138">IFERROR(INDEX('Portfolio 3_2'!$O$3:$AK$101,'Portfolio 3_2'!$AO35,19),"")</f>
        <v/>
      </c>
      <c r="W138" s="1" t="str">
        <f t="shared" si="9"/>
        <v/>
      </c>
    </row>
    <row r="139" spans="1:23">
      <c r="A139" s="92" t="str">
        <f t="shared" ref="A139:A170" si="10">IF(B139="","",A138+1)</f>
        <v/>
      </c>
      <c r="B139" s="82" t="str" cm="1">
        <f t="array" ref="B139">IFERROR(INDEX('Portfolio 3_2'!$O$3:$AK$101,'Portfolio 3_2'!$AO36,2),"")</f>
        <v/>
      </c>
      <c r="C139" s="1" t="str">
        <f t="shared" si="7"/>
        <v/>
      </c>
      <c r="D139" s="1" t="str">
        <f t="shared" si="8"/>
        <v/>
      </c>
      <c r="E139" s="82" t="str" cm="1">
        <f t="array" ref="E139">IFERROR(INDEX('Portfolio 3_2'!$O$3:$AK$101,'Portfolio 3_2'!$AO36,3),"")</f>
        <v/>
      </c>
      <c r="F139" s="82" t="str" cm="1">
        <f t="array" ref="F139">IFERROR(INDEX('Portfolio 3_2'!$O$3:$AK$101,'Portfolio 3_2'!$AO36,4),"")</f>
        <v/>
      </c>
      <c r="G139" s="82" t="str" cm="1">
        <f t="array" ref="G139">IFERROR(INDEX('Portfolio 3_2'!$O$3:$AK$101,'Portfolio 3_2'!$AO36,5),"")</f>
        <v/>
      </c>
      <c r="H139" s="82" t="str" cm="1">
        <f t="array" ref="H139">IFERROR(INDEX('Portfolio 3_2'!$O$3:$AK$101,'Portfolio 3_2'!$AO36,6),"")</f>
        <v/>
      </c>
      <c r="I139" s="82" t="str" cm="1">
        <f t="array" ref="I139">IFERROR(INDEX('Portfolio 3_2'!$O$3:$AK$101,'Portfolio 3_2'!$AO36,7),"")</f>
        <v/>
      </c>
      <c r="J139" s="82" t="str" cm="1">
        <f t="array" ref="J139">IFERROR(INDEX('Portfolio 3_2'!$O$3:$AK$101,'Portfolio 3_2'!$AO36,8),"")</f>
        <v/>
      </c>
      <c r="K139" s="82" t="str" cm="1">
        <f t="array" ref="K139">IFERROR(INDEX('Portfolio 3_2'!$O$3:$AK$101,'Portfolio 3_2'!$AO36,9),"")</f>
        <v/>
      </c>
      <c r="L139" s="82" t="str" cm="1">
        <f t="array" ref="L139">IFERROR(INDEX('Portfolio 3_2'!$O$3:$AK$101,'Portfolio 3_2'!$AO36,12),"")</f>
        <v/>
      </c>
      <c r="M139" s="82" t="str" cm="1">
        <f t="array" ref="M139">IFERROR(INDEX('Portfolio 3_2'!$O$3:$AK$101,'Portfolio 3_2'!$AO36,10),"")</f>
        <v/>
      </c>
      <c r="N139" s="82" t="str" cm="1">
        <f t="array" ref="N139">IFERROR(INDEX('Portfolio 3_2'!$O$3:$AK$101,'Portfolio 3_2'!$AO36,11),"")</f>
        <v/>
      </c>
      <c r="O139" s="82" t="str" cm="1">
        <f t="array" ref="O139">IFERROR(INDEX('Portfolio 3_2'!$O$3:$AK$101,'Portfolio 3_2'!$AO36,13),"")</f>
        <v/>
      </c>
      <c r="P139" s="82" t="str" cm="1">
        <f t="array" ref="P139">IFERROR(IF(ISNUMBER(FIND("กรุงเทพ",INDEX('Portfolio 3_2'!$O$3:$AK$101,'Portfolio 3_2'!$AO37,14))),"กรุงเทพมหานคร",INDEX('Portfolio 3_2'!$O$3:$AK$101,'Portfolio 3_2'!$AO36,14)),"")</f>
        <v/>
      </c>
      <c r="Q139" s="82" t="str" cm="1">
        <f t="array" ref="Q139">IFERROR(INDEX('Portfolio 3_2'!$O$3:$AK$101,'Portfolio 3_2'!$AO36,15),"")</f>
        <v/>
      </c>
      <c r="R139" s="82" t="str" cm="1">
        <f t="array" ref="R139">IFERROR(TEXT(INDEX('Portfolio 3_2'!$O$3:$AK$101,'Portfolio 3_2'!$AO36,16),"dd/mm/yyyy"),"")</f>
        <v/>
      </c>
      <c r="S139" s="82" t="str" cm="1">
        <f t="array" ref="S139">IFERROR(INDEX('Portfolio 3_2'!$O$3:$AK$101,'Portfolio 3_2'!$AO36,20),"")</f>
        <v/>
      </c>
      <c r="T139" s="82" t="str" cm="1">
        <f t="array" ref="T139">IFERROR(INDEX('Portfolio 3_2'!$O$3:$AK$101,'Portfolio 3_2'!$AO36,17),"")</f>
        <v/>
      </c>
      <c r="U139" s="82" t="str" cm="1">
        <f t="array" ref="U139">IFERROR(INDEX('Portfolio 3_2'!$O$3:$AK$101,'Portfolio 3_2'!$AO36,18),"")</f>
        <v/>
      </c>
      <c r="V139" s="82" t="str" cm="1">
        <f t="array" ref="V139">IFERROR(INDEX('Portfolio 3_2'!$O$3:$AK$101,'Portfolio 3_2'!$AO36,19),"")</f>
        <v/>
      </c>
      <c r="W139" s="1" t="str">
        <f t="shared" si="9"/>
        <v/>
      </c>
    </row>
    <row r="140" spans="1:23">
      <c r="A140" s="92" t="str">
        <f t="shared" si="10"/>
        <v/>
      </c>
      <c r="B140" s="82" t="str" cm="1">
        <f t="array" ref="B140">IFERROR(INDEX('Portfolio 3_2'!$O$3:$AK$101,'Portfolio 3_2'!$AO37,2),"")</f>
        <v/>
      </c>
      <c r="C140" s="1" t="str">
        <f t="shared" si="7"/>
        <v/>
      </c>
      <c r="D140" s="1" t="str">
        <f t="shared" si="8"/>
        <v/>
      </c>
      <c r="E140" s="82" t="str" cm="1">
        <f t="array" ref="E140">IFERROR(INDEX('Portfolio 3_2'!$O$3:$AK$101,'Portfolio 3_2'!$AO37,3),"")</f>
        <v/>
      </c>
      <c r="F140" s="82" t="str" cm="1">
        <f t="array" ref="F140">IFERROR(INDEX('Portfolio 3_2'!$O$3:$AK$101,'Portfolio 3_2'!$AO37,4),"")</f>
        <v/>
      </c>
      <c r="G140" s="82" t="str" cm="1">
        <f t="array" ref="G140">IFERROR(INDEX('Portfolio 3_2'!$O$3:$AK$101,'Portfolio 3_2'!$AO37,5),"")</f>
        <v/>
      </c>
      <c r="H140" s="82" t="str" cm="1">
        <f t="array" ref="H140">IFERROR(INDEX('Portfolio 3_2'!$O$3:$AK$101,'Portfolio 3_2'!$AO37,6),"")</f>
        <v/>
      </c>
      <c r="I140" s="82" t="str" cm="1">
        <f t="array" ref="I140">IFERROR(INDEX('Portfolio 3_2'!$O$3:$AK$101,'Portfolio 3_2'!$AO37,7),"")</f>
        <v/>
      </c>
      <c r="J140" s="82" t="str" cm="1">
        <f t="array" ref="J140">IFERROR(INDEX('Portfolio 3_2'!$O$3:$AK$101,'Portfolio 3_2'!$AO37,8),"")</f>
        <v/>
      </c>
      <c r="K140" s="82" t="str" cm="1">
        <f t="array" ref="K140">IFERROR(INDEX('Portfolio 3_2'!$O$3:$AK$101,'Portfolio 3_2'!$AO37,9),"")</f>
        <v/>
      </c>
      <c r="L140" s="82" t="str" cm="1">
        <f t="array" ref="L140">IFERROR(INDEX('Portfolio 3_2'!$O$3:$AK$101,'Portfolio 3_2'!$AO37,12),"")</f>
        <v/>
      </c>
      <c r="M140" s="82" t="str" cm="1">
        <f t="array" ref="M140">IFERROR(INDEX('Portfolio 3_2'!$O$3:$AK$101,'Portfolio 3_2'!$AO37,10),"")</f>
        <v/>
      </c>
      <c r="N140" s="82" t="str" cm="1">
        <f t="array" ref="N140">IFERROR(INDEX('Portfolio 3_2'!$O$3:$AK$101,'Portfolio 3_2'!$AO37,11),"")</f>
        <v/>
      </c>
      <c r="O140" s="82" t="str" cm="1">
        <f t="array" ref="O140">IFERROR(INDEX('Portfolio 3_2'!$O$3:$AK$101,'Portfolio 3_2'!$AO37,13),"")</f>
        <v/>
      </c>
      <c r="P140" s="82" t="str" cm="1">
        <f t="array" ref="P140">IFERROR(IF(ISNUMBER(FIND("กรุงเทพ",INDEX('Portfolio 3_2'!$O$3:$AK$101,'Portfolio 3_2'!$AO38,14))),"กรุงเทพมหานคร",INDEX('Portfolio 3_2'!$O$3:$AK$101,'Portfolio 3_2'!$AO37,14)),"")</f>
        <v/>
      </c>
      <c r="Q140" s="82" t="str" cm="1">
        <f t="array" ref="Q140">IFERROR(INDEX('Portfolio 3_2'!$O$3:$AK$101,'Portfolio 3_2'!$AO37,15),"")</f>
        <v/>
      </c>
      <c r="R140" s="82" t="str" cm="1">
        <f t="array" ref="R140">IFERROR(TEXT(INDEX('Portfolio 3_2'!$O$3:$AK$101,'Portfolio 3_2'!$AO37,16),"dd/mm/yyyy"),"")</f>
        <v/>
      </c>
      <c r="S140" s="82" t="str" cm="1">
        <f t="array" ref="S140">IFERROR(INDEX('Portfolio 3_2'!$O$3:$AK$101,'Portfolio 3_2'!$AO37,20),"")</f>
        <v/>
      </c>
      <c r="T140" s="82" t="str" cm="1">
        <f t="array" ref="T140">IFERROR(INDEX('Portfolio 3_2'!$O$3:$AK$101,'Portfolio 3_2'!$AO37,17),"")</f>
        <v/>
      </c>
      <c r="U140" s="82" t="str" cm="1">
        <f t="array" ref="U140">IFERROR(INDEX('Portfolio 3_2'!$O$3:$AK$101,'Portfolio 3_2'!$AO37,18),"")</f>
        <v/>
      </c>
      <c r="V140" s="82" t="str" cm="1">
        <f t="array" ref="V140">IFERROR(INDEX('Portfolio 3_2'!$O$3:$AK$101,'Portfolio 3_2'!$AO37,19),"")</f>
        <v/>
      </c>
      <c r="W140" s="1" t="str">
        <f t="shared" si="9"/>
        <v/>
      </c>
    </row>
    <row r="141" spans="1:23">
      <c r="A141" s="92" t="str">
        <f t="shared" si="10"/>
        <v/>
      </c>
      <c r="B141" s="82" t="str" cm="1">
        <f t="array" ref="B141">IFERROR(INDEX('Portfolio 3_2'!$O$3:$AK$101,'Portfolio 3_2'!$AO38,2),"")</f>
        <v/>
      </c>
      <c r="C141" s="1" t="str">
        <f t="shared" si="7"/>
        <v/>
      </c>
      <c r="D141" s="1" t="str">
        <f t="shared" si="8"/>
        <v/>
      </c>
      <c r="E141" s="82" t="str" cm="1">
        <f t="array" ref="E141">IFERROR(INDEX('Portfolio 3_2'!$O$3:$AK$101,'Portfolio 3_2'!$AO38,3),"")</f>
        <v/>
      </c>
      <c r="F141" s="82" t="str" cm="1">
        <f t="array" ref="F141">IFERROR(INDEX('Portfolio 3_2'!$O$3:$AK$101,'Portfolio 3_2'!$AO38,4),"")</f>
        <v/>
      </c>
      <c r="G141" s="82" t="str" cm="1">
        <f t="array" ref="G141">IFERROR(INDEX('Portfolio 3_2'!$O$3:$AK$101,'Portfolio 3_2'!$AO38,5),"")</f>
        <v/>
      </c>
      <c r="H141" s="82" t="str" cm="1">
        <f t="array" ref="H141">IFERROR(INDEX('Portfolio 3_2'!$O$3:$AK$101,'Portfolio 3_2'!$AO38,6),"")</f>
        <v/>
      </c>
      <c r="I141" s="82" t="str" cm="1">
        <f t="array" ref="I141">IFERROR(INDEX('Portfolio 3_2'!$O$3:$AK$101,'Portfolio 3_2'!$AO38,7),"")</f>
        <v/>
      </c>
      <c r="J141" s="82" t="str" cm="1">
        <f t="array" ref="J141">IFERROR(INDEX('Portfolio 3_2'!$O$3:$AK$101,'Portfolio 3_2'!$AO38,8),"")</f>
        <v/>
      </c>
      <c r="K141" s="82" t="str" cm="1">
        <f t="array" ref="K141">IFERROR(INDEX('Portfolio 3_2'!$O$3:$AK$101,'Portfolio 3_2'!$AO38,9),"")</f>
        <v/>
      </c>
      <c r="L141" s="82" t="str" cm="1">
        <f t="array" ref="L141">IFERROR(INDEX('Portfolio 3_2'!$O$3:$AK$101,'Portfolio 3_2'!$AO38,12),"")</f>
        <v/>
      </c>
      <c r="M141" s="82" t="str" cm="1">
        <f t="array" ref="M141">IFERROR(INDEX('Portfolio 3_2'!$O$3:$AK$101,'Portfolio 3_2'!$AO38,10),"")</f>
        <v/>
      </c>
      <c r="N141" s="82" t="str" cm="1">
        <f t="array" ref="N141">IFERROR(INDEX('Portfolio 3_2'!$O$3:$AK$101,'Portfolio 3_2'!$AO38,11),"")</f>
        <v/>
      </c>
      <c r="O141" s="82" t="str" cm="1">
        <f t="array" ref="O141">IFERROR(INDEX('Portfolio 3_2'!$O$3:$AK$101,'Portfolio 3_2'!$AO38,13),"")</f>
        <v/>
      </c>
      <c r="P141" s="82" t="str" cm="1">
        <f t="array" ref="P141">IFERROR(IF(ISNUMBER(FIND("กรุงเทพ",INDEX('Portfolio 3_2'!$O$3:$AK$101,'Portfolio 3_2'!$AO39,14))),"กรุงเทพมหานคร",INDEX('Portfolio 3_2'!$O$3:$AK$101,'Portfolio 3_2'!$AO38,14)),"")</f>
        <v/>
      </c>
      <c r="Q141" s="82" t="str" cm="1">
        <f t="array" ref="Q141">IFERROR(INDEX('Portfolio 3_2'!$O$3:$AK$101,'Portfolio 3_2'!$AO38,15),"")</f>
        <v/>
      </c>
      <c r="R141" s="82" t="str" cm="1">
        <f t="array" ref="R141">IFERROR(TEXT(INDEX('Portfolio 3_2'!$O$3:$AK$101,'Portfolio 3_2'!$AO38,16),"dd/mm/yyyy"),"")</f>
        <v/>
      </c>
      <c r="S141" s="82" t="str" cm="1">
        <f t="array" ref="S141">IFERROR(INDEX('Portfolio 3_2'!$O$3:$AK$101,'Portfolio 3_2'!$AO38,20),"")</f>
        <v/>
      </c>
      <c r="T141" s="82" t="str" cm="1">
        <f t="array" ref="T141">IFERROR(INDEX('Portfolio 3_2'!$O$3:$AK$101,'Portfolio 3_2'!$AO38,17),"")</f>
        <v/>
      </c>
      <c r="U141" s="82" t="str" cm="1">
        <f t="array" ref="U141">IFERROR(INDEX('Portfolio 3_2'!$O$3:$AK$101,'Portfolio 3_2'!$AO38,18),"")</f>
        <v/>
      </c>
      <c r="V141" s="82" t="str" cm="1">
        <f t="array" ref="V141">IFERROR(INDEX('Portfolio 3_2'!$O$3:$AK$101,'Portfolio 3_2'!$AO38,19),"")</f>
        <v/>
      </c>
      <c r="W141" s="1" t="str">
        <f t="shared" si="9"/>
        <v/>
      </c>
    </row>
    <row r="142" spans="1:23">
      <c r="A142" s="92" t="str">
        <f t="shared" si="10"/>
        <v/>
      </c>
      <c r="B142" s="82" t="str" cm="1">
        <f t="array" ref="B142">IFERROR(INDEX('Portfolio 3_2'!$O$3:$AK$101,'Portfolio 3_2'!$AO39,2),"")</f>
        <v/>
      </c>
      <c r="C142" s="1" t="str">
        <f t="shared" si="7"/>
        <v/>
      </c>
      <c r="D142" s="1" t="str">
        <f t="shared" si="8"/>
        <v/>
      </c>
      <c r="E142" s="82" t="str" cm="1">
        <f t="array" ref="E142">IFERROR(INDEX('Portfolio 3_2'!$O$3:$AK$101,'Portfolio 3_2'!$AO39,3),"")</f>
        <v/>
      </c>
      <c r="F142" s="82" t="str" cm="1">
        <f t="array" ref="F142">IFERROR(INDEX('Portfolio 3_2'!$O$3:$AK$101,'Portfolio 3_2'!$AO39,4),"")</f>
        <v/>
      </c>
      <c r="G142" s="82" t="str" cm="1">
        <f t="array" ref="G142">IFERROR(INDEX('Portfolio 3_2'!$O$3:$AK$101,'Portfolio 3_2'!$AO39,5),"")</f>
        <v/>
      </c>
      <c r="H142" s="82" t="str" cm="1">
        <f t="array" ref="H142">IFERROR(INDEX('Portfolio 3_2'!$O$3:$AK$101,'Portfolio 3_2'!$AO39,6),"")</f>
        <v/>
      </c>
      <c r="I142" s="82" t="str" cm="1">
        <f t="array" ref="I142">IFERROR(INDEX('Portfolio 3_2'!$O$3:$AK$101,'Portfolio 3_2'!$AO39,7),"")</f>
        <v/>
      </c>
      <c r="J142" s="82" t="str" cm="1">
        <f t="array" ref="J142">IFERROR(INDEX('Portfolio 3_2'!$O$3:$AK$101,'Portfolio 3_2'!$AO39,8),"")</f>
        <v/>
      </c>
      <c r="K142" s="82" t="str" cm="1">
        <f t="array" ref="K142">IFERROR(INDEX('Portfolio 3_2'!$O$3:$AK$101,'Portfolio 3_2'!$AO39,9),"")</f>
        <v/>
      </c>
      <c r="L142" s="82" t="str" cm="1">
        <f t="array" ref="L142">IFERROR(INDEX('Portfolio 3_2'!$O$3:$AK$101,'Portfolio 3_2'!$AO39,12),"")</f>
        <v/>
      </c>
      <c r="M142" s="82" t="str" cm="1">
        <f t="array" ref="M142">IFERROR(INDEX('Portfolio 3_2'!$O$3:$AK$101,'Portfolio 3_2'!$AO39,10),"")</f>
        <v/>
      </c>
      <c r="N142" s="82" t="str" cm="1">
        <f t="array" ref="N142">IFERROR(INDEX('Portfolio 3_2'!$O$3:$AK$101,'Portfolio 3_2'!$AO39,11),"")</f>
        <v/>
      </c>
      <c r="O142" s="82" t="str" cm="1">
        <f t="array" ref="O142">IFERROR(INDEX('Portfolio 3_2'!$O$3:$AK$101,'Portfolio 3_2'!$AO39,13),"")</f>
        <v/>
      </c>
      <c r="P142" s="82" t="str" cm="1">
        <f t="array" ref="P142">IFERROR(IF(ISNUMBER(FIND("กรุงเทพ",INDEX('Portfolio 3_2'!$O$3:$AK$101,'Portfolio 3_2'!$AO40,14))),"กรุงเทพมหานคร",INDEX('Portfolio 3_2'!$O$3:$AK$101,'Portfolio 3_2'!$AO39,14)),"")</f>
        <v/>
      </c>
      <c r="Q142" s="82" t="str" cm="1">
        <f t="array" ref="Q142">IFERROR(INDEX('Portfolio 3_2'!$O$3:$AK$101,'Portfolio 3_2'!$AO39,15),"")</f>
        <v/>
      </c>
      <c r="R142" s="82" t="str" cm="1">
        <f t="array" ref="R142">IFERROR(TEXT(INDEX('Portfolio 3_2'!$O$3:$AK$101,'Portfolio 3_2'!$AO39,16),"dd/mm/yyyy"),"")</f>
        <v/>
      </c>
      <c r="S142" s="82" t="str" cm="1">
        <f t="array" ref="S142">IFERROR(INDEX('Portfolio 3_2'!$O$3:$AK$101,'Portfolio 3_2'!$AO39,20),"")</f>
        <v/>
      </c>
      <c r="T142" s="82" t="str" cm="1">
        <f t="array" ref="T142">IFERROR(INDEX('Portfolio 3_2'!$O$3:$AK$101,'Portfolio 3_2'!$AO39,17),"")</f>
        <v/>
      </c>
      <c r="U142" s="82" t="str" cm="1">
        <f t="array" ref="U142">IFERROR(INDEX('Portfolio 3_2'!$O$3:$AK$101,'Portfolio 3_2'!$AO39,18),"")</f>
        <v/>
      </c>
      <c r="V142" s="82" t="str" cm="1">
        <f t="array" ref="V142">IFERROR(INDEX('Portfolio 3_2'!$O$3:$AK$101,'Portfolio 3_2'!$AO39,19),"")</f>
        <v/>
      </c>
      <c r="W142" s="1" t="str">
        <f t="shared" si="9"/>
        <v/>
      </c>
    </row>
    <row r="143" spans="1:23">
      <c r="A143" s="92" t="str">
        <f t="shared" si="10"/>
        <v/>
      </c>
      <c r="B143" s="82" t="str" cm="1">
        <f t="array" ref="B143">IFERROR(INDEX('Portfolio 3_2'!$O$3:$AK$101,'Portfolio 3_2'!$AO40,2),"")</f>
        <v/>
      </c>
      <c r="C143" s="1" t="str">
        <f t="shared" si="7"/>
        <v/>
      </c>
      <c r="D143" s="1" t="str">
        <f t="shared" si="8"/>
        <v/>
      </c>
      <c r="E143" s="82" t="str" cm="1">
        <f t="array" ref="E143">IFERROR(INDEX('Portfolio 3_2'!$O$3:$AK$101,'Portfolio 3_2'!$AO40,3),"")</f>
        <v/>
      </c>
      <c r="F143" s="82" t="str" cm="1">
        <f t="array" ref="F143">IFERROR(INDEX('Portfolio 3_2'!$O$3:$AK$101,'Portfolio 3_2'!$AO40,4),"")</f>
        <v/>
      </c>
      <c r="G143" s="82" t="str" cm="1">
        <f t="array" ref="G143">IFERROR(INDEX('Portfolio 3_2'!$O$3:$AK$101,'Portfolio 3_2'!$AO40,5),"")</f>
        <v/>
      </c>
      <c r="H143" s="82" t="str" cm="1">
        <f t="array" ref="H143">IFERROR(INDEX('Portfolio 3_2'!$O$3:$AK$101,'Portfolio 3_2'!$AO40,6),"")</f>
        <v/>
      </c>
      <c r="I143" s="82" t="str" cm="1">
        <f t="array" ref="I143">IFERROR(INDEX('Portfolio 3_2'!$O$3:$AK$101,'Portfolio 3_2'!$AO40,7),"")</f>
        <v/>
      </c>
      <c r="J143" s="82" t="str" cm="1">
        <f t="array" ref="J143">IFERROR(INDEX('Portfolio 3_2'!$O$3:$AK$101,'Portfolio 3_2'!$AO40,8),"")</f>
        <v/>
      </c>
      <c r="K143" s="82" t="str" cm="1">
        <f t="array" ref="K143">IFERROR(INDEX('Portfolio 3_2'!$O$3:$AK$101,'Portfolio 3_2'!$AO40,9),"")</f>
        <v/>
      </c>
      <c r="L143" s="82" t="str" cm="1">
        <f t="array" ref="L143">IFERROR(INDEX('Portfolio 3_2'!$O$3:$AK$101,'Portfolio 3_2'!$AO40,12),"")</f>
        <v/>
      </c>
      <c r="M143" s="82" t="str" cm="1">
        <f t="array" ref="M143">IFERROR(INDEX('Portfolio 3_2'!$O$3:$AK$101,'Portfolio 3_2'!$AO40,10),"")</f>
        <v/>
      </c>
      <c r="N143" s="82" t="str" cm="1">
        <f t="array" ref="N143">IFERROR(INDEX('Portfolio 3_2'!$O$3:$AK$101,'Portfolio 3_2'!$AO40,11),"")</f>
        <v/>
      </c>
      <c r="O143" s="82" t="str" cm="1">
        <f t="array" ref="O143">IFERROR(INDEX('Portfolio 3_2'!$O$3:$AK$101,'Portfolio 3_2'!$AO40,13),"")</f>
        <v/>
      </c>
      <c r="P143" s="82" t="str" cm="1">
        <f t="array" ref="P143">IFERROR(IF(ISNUMBER(FIND("กรุงเทพ",INDEX('Portfolio 3_2'!$O$3:$AK$101,'Portfolio 3_2'!$AO41,14))),"กรุงเทพมหานคร",INDEX('Portfolio 3_2'!$O$3:$AK$101,'Portfolio 3_2'!$AO40,14)),"")</f>
        <v/>
      </c>
      <c r="Q143" s="82" t="str" cm="1">
        <f t="array" ref="Q143">IFERROR(INDEX('Portfolio 3_2'!$O$3:$AK$101,'Portfolio 3_2'!$AO40,15),"")</f>
        <v/>
      </c>
      <c r="R143" s="82" t="str" cm="1">
        <f t="array" ref="R143">IFERROR(TEXT(INDEX('Portfolio 3_2'!$O$3:$AK$101,'Portfolio 3_2'!$AO40,16),"dd/mm/yyyy"),"")</f>
        <v/>
      </c>
      <c r="S143" s="82" t="str" cm="1">
        <f t="array" ref="S143">IFERROR(INDEX('Portfolio 3_2'!$O$3:$AK$101,'Portfolio 3_2'!$AO40,20),"")</f>
        <v/>
      </c>
      <c r="T143" s="82" t="str" cm="1">
        <f t="array" ref="T143">IFERROR(INDEX('Portfolio 3_2'!$O$3:$AK$101,'Portfolio 3_2'!$AO40,17),"")</f>
        <v/>
      </c>
      <c r="U143" s="82" t="str" cm="1">
        <f t="array" ref="U143">IFERROR(INDEX('Portfolio 3_2'!$O$3:$AK$101,'Portfolio 3_2'!$AO40,18),"")</f>
        <v/>
      </c>
      <c r="V143" s="82" t="str" cm="1">
        <f t="array" ref="V143">IFERROR(INDEX('Portfolio 3_2'!$O$3:$AK$101,'Portfolio 3_2'!$AO40,19),"")</f>
        <v/>
      </c>
      <c r="W143" s="1" t="str">
        <f t="shared" si="9"/>
        <v/>
      </c>
    </row>
    <row r="144" spans="1:23">
      <c r="A144" s="92" t="str">
        <f t="shared" si="10"/>
        <v/>
      </c>
      <c r="B144" s="82" t="str" cm="1">
        <f t="array" ref="B144">IFERROR(INDEX('Portfolio 3_2'!$O$3:$AK$101,'Portfolio 3_2'!$AO41,2),"")</f>
        <v/>
      </c>
      <c r="C144" s="1" t="str">
        <f t="shared" si="7"/>
        <v/>
      </c>
      <c r="D144" s="1" t="str">
        <f t="shared" si="8"/>
        <v/>
      </c>
      <c r="E144" s="82" t="str" cm="1">
        <f t="array" ref="E144">IFERROR(INDEX('Portfolio 3_2'!$O$3:$AK$101,'Portfolio 3_2'!$AO41,3),"")</f>
        <v/>
      </c>
      <c r="F144" s="82" t="str" cm="1">
        <f t="array" ref="F144">IFERROR(INDEX('Portfolio 3_2'!$O$3:$AK$101,'Portfolio 3_2'!$AO41,4),"")</f>
        <v/>
      </c>
      <c r="G144" s="82" t="str" cm="1">
        <f t="array" ref="G144">IFERROR(INDEX('Portfolio 3_2'!$O$3:$AK$101,'Portfolio 3_2'!$AO41,5),"")</f>
        <v/>
      </c>
      <c r="H144" s="82" t="str" cm="1">
        <f t="array" ref="H144">IFERROR(INDEX('Portfolio 3_2'!$O$3:$AK$101,'Portfolio 3_2'!$AO41,6),"")</f>
        <v/>
      </c>
      <c r="I144" s="82" t="str" cm="1">
        <f t="array" ref="I144">IFERROR(INDEX('Portfolio 3_2'!$O$3:$AK$101,'Portfolio 3_2'!$AO41,7),"")</f>
        <v/>
      </c>
      <c r="J144" s="82" t="str" cm="1">
        <f t="array" ref="J144">IFERROR(INDEX('Portfolio 3_2'!$O$3:$AK$101,'Portfolio 3_2'!$AO41,8),"")</f>
        <v/>
      </c>
      <c r="K144" s="82" t="str" cm="1">
        <f t="array" ref="K144">IFERROR(INDEX('Portfolio 3_2'!$O$3:$AK$101,'Portfolio 3_2'!$AO41,9),"")</f>
        <v/>
      </c>
      <c r="L144" s="82" t="str" cm="1">
        <f t="array" ref="L144">IFERROR(INDEX('Portfolio 3_2'!$O$3:$AK$101,'Portfolio 3_2'!$AO41,12),"")</f>
        <v/>
      </c>
      <c r="M144" s="82" t="str" cm="1">
        <f t="array" ref="M144">IFERROR(INDEX('Portfolio 3_2'!$O$3:$AK$101,'Portfolio 3_2'!$AO41,10),"")</f>
        <v/>
      </c>
      <c r="N144" s="82" t="str" cm="1">
        <f t="array" ref="N144">IFERROR(INDEX('Portfolio 3_2'!$O$3:$AK$101,'Portfolio 3_2'!$AO41,11),"")</f>
        <v/>
      </c>
      <c r="O144" s="82" t="str" cm="1">
        <f t="array" ref="O144">IFERROR(INDEX('Portfolio 3_2'!$O$3:$AK$101,'Portfolio 3_2'!$AO41,13),"")</f>
        <v/>
      </c>
      <c r="P144" s="82" t="str" cm="1">
        <f t="array" ref="P144">IFERROR(IF(ISNUMBER(FIND("กรุงเทพ",INDEX('Portfolio 3_2'!$O$3:$AK$101,'Portfolio 3_2'!$AO42,14))),"กรุงเทพมหานคร",INDEX('Portfolio 3_2'!$O$3:$AK$101,'Portfolio 3_2'!$AO41,14)),"")</f>
        <v/>
      </c>
      <c r="Q144" s="82" t="str" cm="1">
        <f t="array" ref="Q144">IFERROR(INDEX('Portfolio 3_2'!$O$3:$AK$101,'Portfolio 3_2'!$AO41,15),"")</f>
        <v/>
      </c>
      <c r="R144" s="82" t="str" cm="1">
        <f t="array" ref="R144">IFERROR(TEXT(INDEX('Portfolio 3_2'!$O$3:$AK$101,'Portfolio 3_2'!$AO41,16),"dd/mm/yyyy"),"")</f>
        <v/>
      </c>
      <c r="S144" s="82" t="str" cm="1">
        <f t="array" ref="S144">IFERROR(INDEX('Portfolio 3_2'!$O$3:$AK$101,'Portfolio 3_2'!$AO41,20),"")</f>
        <v/>
      </c>
      <c r="T144" s="82" t="str" cm="1">
        <f t="array" ref="T144">IFERROR(INDEX('Portfolio 3_2'!$O$3:$AK$101,'Portfolio 3_2'!$AO41,17),"")</f>
        <v/>
      </c>
      <c r="U144" s="82" t="str" cm="1">
        <f t="array" ref="U144">IFERROR(INDEX('Portfolio 3_2'!$O$3:$AK$101,'Portfolio 3_2'!$AO41,18),"")</f>
        <v/>
      </c>
      <c r="V144" s="82" t="str" cm="1">
        <f t="array" ref="V144">IFERROR(INDEX('Portfolio 3_2'!$O$3:$AK$101,'Portfolio 3_2'!$AO41,19),"")</f>
        <v/>
      </c>
      <c r="W144" s="1" t="str">
        <f t="shared" si="9"/>
        <v/>
      </c>
    </row>
    <row r="145" spans="1:23">
      <c r="A145" s="92" t="str">
        <f t="shared" si="10"/>
        <v/>
      </c>
      <c r="B145" s="82" t="str" cm="1">
        <f t="array" ref="B145">IFERROR(INDEX('Portfolio 3_2'!$O$3:$AK$101,'Portfolio 3_2'!$AO42,2),"")</f>
        <v/>
      </c>
      <c r="C145" s="1" t="str">
        <f t="shared" si="7"/>
        <v/>
      </c>
      <c r="D145" s="1" t="str">
        <f t="shared" si="8"/>
        <v/>
      </c>
      <c r="E145" s="82" t="str" cm="1">
        <f t="array" ref="E145">IFERROR(INDEX('Portfolio 3_2'!$O$3:$AK$101,'Portfolio 3_2'!$AO42,3),"")</f>
        <v/>
      </c>
      <c r="F145" s="82" t="str" cm="1">
        <f t="array" ref="F145">IFERROR(INDEX('Portfolio 3_2'!$O$3:$AK$101,'Portfolio 3_2'!$AO42,4),"")</f>
        <v/>
      </c>
      <c r="G145" s="82" t="str" cm="1">
        <f t="array" ref="G145">IFERROR(INDEX('Portfolio 3_2'!$O$3:$AK$101,'Portfolio 3_2'!$AO42,5),"")</f>
        <v/>
      </c>
      <c r="H145" s="82" t="str" cm="1">
        <f t="array" ref="H145">IFERROR(INDEX('Portfolio 3_2'!$O$3:$AK$101,'Portfolio 3_2'!$AO42,6),"")</f>
        <v/>
      </c>
      <c r="I145" s="82" t="str" cm="1">
        <f t="array" ref="I145">IFERROR(INDEX('Portfolio 3_2'!$O$3:$AK$101,'Portfolio 3_2'!$AO42,7),"")</f>
        <v/>
      </c>
      <c r="J145" s="82" t="str" cm="1">
        <f t="array" ref="J145">IFERROR(INDEX('Portfolio 3_2'!$O$3:$AK$101,'Portfolio 3_2'!$AO42,8),"")</f>
        <v/>
      </c>
      <c r="K145" s="82" t="str" cm="1">
        <f t="array" ref="K145">IFERROR(INDEX('Portfolio 3_2'!$O$3:$AK$101,'Portfolio 3_2'!$AO42,9),"")</f>
        <v/>
      </c>
      <c r="L145" s="82" t="str" cm="1">
        <f t="array" ref="L145">IFERROR(INDEX('Portfolio 3_2'!$O$3:$AK$101,'Portfolio 3_2'!$AO42,12),"")</f>
        <v/>
      </c>
      <c r="M145" s="82" t="str" cm="1">
        <f t="array" ref="M145">IFERROR(INDEX('Portfolio 3_2'!$O$3:$AK$101,'Portfolio 3_2'!$AO42,10),"")</f>
        <v/>
      </c>
      <c r="N145" s="82" t="str" cm="1">
        <f t="array" ref="N145">IFERROR(INDEX('Portfolio 3_2'!$O$3:$AK$101,'Portfolio 3_2'!$AO42,11),"")</f>
        <v/>
      </c>
      <c r="O145" s="82" t="str" cm="1">
        <f t="array" ref="O145">IFERROR(INDEX('Portfolio 3_2'!$O$3:$AK$101,'Portfolio 3_2'!$AO42,13),"")</f>
        <v/>
      </c>
      <c r="P145" s="82" t="str" cm="1">
        <f t="array" ref="P145">IFERROR(IF(ISNUMBER(FIND("กรุงเทพ",INDEX('Portfolio 3_2'!$O$3:$AK$101,'Portfolio 3_2'!$AO43,14))),"กรุงเทพมหานคร",INDEX('Portfolio 3_2'!$O$3:$AK$101,'Portfolio 3_2'!$AO42,14)),"")</f>
        <v/>
      </c>
      <c r="Q145" s="82" t="str" cm="1">
        <f t="array" ref="Q145">IFERROR(INDEX('Portfolio 3_2'!$O$3:$AK$101,'Portfolio 3_2'!$AO42,15),"")</f>
        <v/>
      </c>
      <c r="R145" s="82" t="str" cm="1">
        <f t="array" ref="R145">IFERROR(TEXT(INDEX('Portfolio 3_2'!$O$3:$AK$101,'Portfolio 3_2'!$AO42,16),"dd/mm/yyyy"),"")</f>
        <v/>
      </c>
      <c r="S145" s="82" t="str" cm="1">
        <f t="array" ref="S145">IFERROR(INDEX('Portfolio 3_2'!$O$3:$AK$101,'Portfolio 3_2'!$AO42,20),"")</f>
        <v/>
      </c>
      <c r="T145" s="82" t="str" cm="1">
        <f t="array" ref="T145">IFERROR(INDEX('Portfolio 3_2'!$O$3:$AK$101,'Portfolio 3_2'!$AO42,17),"")</f>
        <v/>
      </c>
      <c r="U145" s="82" t="str" cm="1">
        <f t="array" ref="U145">IFERROR(INDEX('Portfolio 3_2'!$O$3:$AK$101,'Portfolio 3_2'!$AO42,18),"")</f>
        <v/>
      </c>
      <c r="V145" s="82" t="str" cm="1">
        <f t="array" ref="V145">IFERROR(INDEX('Portfolio 3_2'!$O$3:$AK$101,'Portfolio 3_2'!$AO42,19),"")</f>
        <v/>
      </c>
      <c r="W145" s="1" t="str">
        <f t="shared" si="9"/>
        <v/>
      </c>
    </row>
    <row r="146" spans="1:23">
      <c r="A146" s="92" t="str">
        <f t="shared" si="10"/>
        <v/>
      </c>
      <c r="B146" s="82" t="str" cm="1">
        <f t="array" ref="B146">IFERROR(INDEX('Portfolio 3_2'!$O$3:$AK$101,'Portfolio 3_2'!$AO43,2),"")</f>
        <v/>
      </c>
      <c r="C146" s="1" t="str">
        <f t="shared" si="7"/>
        <v/>
      </c>
      <c r="D146" s="1" t="str">
        <f t="shared" si="8"/>
        <v/>
      </c>
      <c r="E146" s="82" t="str" cm="1">
        <f t="array" ref="E146">IFERROR(INDEX('Portfolio 3_2'!$O$3:$AK$101,'Portfolio 3_2'!$AO43,3),"")</f>
        <v/>
      </c>
      <c r="F146" s="82" t="str" cm="1">
        <f t="array" ref="F146">IFERROR(INDEX('Portfolio 3_2'!$O$3:$AK$101,'Portfolio 3_2'!$AO43,4),"")</f>
        <v/>
      </c>
      <c r="G146" s="82" t="str" cm="1">
        <f t="array" ref="G146">IFERROR(INDEX('Portfolio 3_2'!$O$3:$AK$101,'Portfolio 3_2'!$AO43,5),"")</f>
        <v/>
      </c>
      <c r="H146" s="82" t="str" cm="1">
        <f t="array" ref="H146">IFERROR(INDEX('Portfolio 3_2'!$O$3:$AK$101,'Portfolio 3_2'!$AO43,6),"")</f>
        <v/>
      </c>
      <c r="I146" s="82" t="str" cm="1">
        <f t="array" ref="I146">IFERROR(INDEX('Portfolio 3_2'!$O$3:$AK$101,'Portfolio 3_2'!$AO43,7),"")</f>
        <v/>
      </c>
      <c r="J146" s="82" t="str" cm="1">
        <f t="array" ref="J146">IFERROR(INDEX('Portfolio 3_2'!$O$3:$AK$101,'Portfolio 3_2'!$AO43,8),"")</f>
        <v/>
      </c>
      <c r="K146" s="82" t="str" cm="1">
        <f t="array" ref="K146">IFERROR(INDEX('Portfolio 3_2'!$O$3:$AK$101,'Portfolio 3_2'!$AO43,9),"")</f>
        <v/>
      </c>
      <c r="L146" s="82" t="str" cm="1">
        <f t="array" ref="L146">IFERROR(INDEX('Portfolio 3_2'!$O$3:$AK$101,'Portfolio 3_2'!$AO43,12),"")</f>
        <v/>
      </c>
      <c r="M146" s="82" t="str" cm="1">
        <f t="array" ref="M146">IFERROR(INDEX('Portfolio 3_2'!$O$3:$AK$101,'Portfolio 3_2'!$AO43,10),"")</f>
        <v/>
      </c>
      <c r="N146" s="82" t="str" cm="1">
        <f t="array" ref="N146">IFERROR(INDEX('Portfolio 3_2'!$O$3:$AK$101,'Portfolio 3_2'!$AO43,11),"")</f>
        <v/>
      </c>
      <c r="O146" s="82" t="str" cm="1">
        <f t="array" ref="O146">IFERROR(INDEX('Portfolio 3_2'!$O$3:$AK$101,'Portfolio 3_2'!$AO43,13),"")</f>
        <v/>
      </c>
      <c r="P146" s="82" t="str" cm="1">
        <f t="array" ref="P146">IFERROR(IF(ISNUMBER(FIND("กรุงเทพ",INDEX('Portfolio 3_2'!$O$3:$AK$101,'Portfolio 3_2'!$AO44,14))),"กรุงเทพมหานคร",INDEX('Portfolio 3_2'!$O$3:$AK$101,'Portfolio 3_2'!$AO43,14)),"")</f>
        <v/>
      </c>
      <c r="Q146" s="82" t="str" cm="1">
        <f t="array" ref="Q146">IFERROR(INDEX('Portfolio 3_2'!$O$3:$AK$101,'Portfolio 3_2'!$AO43,15),"")</f>
        <v/>
      </c>
      <c r="R146" s="82" t="str" cm="1">
        <f t="array" ref="R146">IFERROR(TEXT(INDEX('Portfolio 3_2'!$O$3:$AK$101,'Portfolio 3_2'!$AO43,16),"dd/mm/yyyy"),"")</f>
        <v/>
      </c>
      <c r="S146" s="82" t="str" cm="1">
        <f t="array" ref="S146">IFERROR(INDEX('Portfolio 3_2'!$O$3:$AK$101,'Portfolio 3_2'!$AO43,20),"")</f>
        <v/>
      </c>
      <c r="T146" s="82" t="str" cm="1">
        <f t="array" ref="T146">IFERROR(INDEX('Portfolio 3_2'!$O$3:$AK$101,'Portfolio 3_2'!$AO43,17),"")</f>
        <v/>
      </c>
      <c r="U146" s="82" t="str" cm="1">
        <f t="array" ref="U146">IFERROR(INDEX('Portfolio 3_2'!$O$3:$AK$101,'Portfolio 3_2'!$AO43,18),"")</f>
        <v/>
      </c>
      <c r="V146" s="82" t="str" cm="1">
        <f t="array" ref="V146">IFERROR(INDEX('Portfolio 3_2'!$O$3:$AK$101,'Portfolio 3_2'!$AO43,19),"")</f>
        <v/>
      </c>
      <c r="W146" s="1" t="str">
        <f t="shared" si="9"/>
        <v/>
      </c>
    </row>
    <row r="147" spans="1:23">
      <c r="A147" s="92" t="str">
        <f t="shared" si="10"/>
        <v/>
      </c>
      <c r="B147" s="82" t="str" cm="1">
        <f t="array" ref="B147">IFERROR(INDEX('Portfolio 3_2'!$O$3:$AK$101,'Portfolio 3_2'!$AO44,2),"")</f>
        <v/>
      </c>
      <c r="C147" s="1" t="str">
        <f t="shared" si="7"/>
        <v/>
      </c>
      <c r="D147" s="1" t="str">
        <f t="shared" si="8"/>
        <v/>
      </c>
      <c r="E147" s="82" t="str" cm="1">
        <f t="array" ref="E147">IFERROR(INDEX('Portfolio 3_2'!$O$3:$AK$101,'Portfolio 3_2'!$AO44,3),"")</f>
        <v/>
      </c>
      <c r="F147" s="82" t="str" cm="1">
        <f t="array" ref="F147">IFERROR(INDEX('Portfolio 3_2'!$O$3:$AK$101,'Portfolio 3_2'!$AO44,4),"")</f>
        <v/>
      </c>
      <c r="G147" s="82" t="str" cm="1">
        <f t="array" ref="G147">IFERROR(INDEX('Portfolio 3_2'!$O$3:$AK$101,'Portfolio 3_2'!$AO44,5),"")</f>
        <v/>
      </c>
      <c r="H147" s="82" t="str" cm="1">
        <f t="array" ref="H147">IFERROR(INDEX('Portfolio 3_2'!$O$3:$AK$101,'Portfolio 3_2'!$AO44,6),"")</f>
        <v/>
      </c>
      <c r="I147" s="82" t="str" cm="1">
        <f t="array" ref="I147">IFERROR(INDEX('Portfolio 3_2'!$O$3:$AK$101,'Portfolio 3_2'!$AO44,7),"")</f>
        <v/>
      </c>
      <c r="J147" s="82" t="str" cm="1">
        <f t="array" ref="J147">IFERROR(INDEX('Portfolio 3_2'!$O$3:$AK$101,'Portfolio 3_2'!$AO44,8),"")</f>
        <v/>
      </c>
      <c r="K147" s="82" t="str" cm="1">
        <f t="array" ref="K147">IFERROR(INDEX('Portfolio 3_2'!$O$3:$AK$101,'Portfolio 3_2'!$AO44,9),"")</f>
        <v/>
      </c>
      <c r="L147" s="82" t="str" cm="1">
        <f t="array" ref="L147">IFERROR(INDEX('Portfolio 3_2'!$O$3:$AK$101,'Portfolio 3_2'!$AO44,12),"")</f>
        <v/>
      </c>
      <c r="M147" s="82" t="str" cm="1">
        <f t="array" ref="M147">IFERROR(INDEX('Portfolio 3_2'!$O$3:$AK$101,'Portfolio 3_2'!$AO44,10),"")</f>
        <v/>
      </c>
      <c r="N147" s="82" t="str" cm="1">
        <f t="array" ref="N147">IFERROR(INDEX('Portfolio 3_2'!$O$3:$AK$101,'Portfolio 3_2'!$AO44,11),"")</f>
        <v/>
      </c>
      <c r="O147" s="82" t="str" cm="1">
        <f t="array" ref="O147">IFERROR(INDEX('Portfolio 3_2'!$O$3:$AK$101,'Portfolio 3_2'!$AO44,13),"")</f>
        <v/>
      </c>
      <c r="P147" s="82" t="str" cm="1">
        <f t="array" ref="P147">IFERROR(IF(ISNUMBER(FIND("กรุงเทพ",INDEX('Portfolio 3_2'!$O$3:$AK$101,'Portfolio 3_2'!$AO45,14))),"กรุงเทพมหานคร",INDEX('Portfolio 3_2'!$O$3:$AK$101,'Portfolio 3_2'!$AO44,14)),"")</f>
        <v/>
      </c>
      <c r="Q147" s="82" t="str" cm="1">
        <f t="array" ref="Q147">IFERROR(INDEX('Portfolio 3_2'!$O$3:$AK$101,'Portfolio 3_2'!$AO44,15),"")</f>
        <v/>
      </c>
      <c r="R147" s="82" t="str" cm="1">
        <f t="array" ref="R147">IFERROR(TEXT(INDEX('Portfolio 3_2'!$O$3:$AK$101,'Portfolio 3_2'!$AO44,16),"dd/mm/yyyy"),"")</f>
        <v/>
      </c>
      <c r="S147" s="82" t="str" cm="1">
        <f t="array" ref="S147">IFERROR(INDEX('Portfolio 3_2'!$O$3:$AK$101,'Portfolio 3_2'!$AO44,20),"")</f>
        <v/>
      </c>
      <c r="T147" s="82" t="str" cm="1">
        <f t="array" ref="T147">IFERROR(INDEX('Portfolio 3_2'!$O$3:$AK$101,'Portfolio 3_2'!$AO44,17),"")</f>
        <v/>
      </c>
      <c r="U147" s="82" t="str" cm="1">
        <f t="array" ref="U147">IFERROR(INDEX('Portfolio 3_2'!$O$3:$AK$101,'Portfolio 3_2'!$AO44,18),"")</f>
        <v/>
      </c>
      <c r="V147" s="82" t="str" cm="1">
        <f t="array" ref="V147">IFERROR(INDEX('Portfolio 3_2'!$O$3:$AK$101,'Portfolio 3_2'!$AO44,19),"")</f>
        <v/>
      </c>
      <c r="W147" s="1" t="str">
        <f t="shared" si="9"/>
        <v/>
      </c>
    </row>
    <row r="148" spans="1:23">
      <c r="A148" s="92" t="str">
        <f t="shared" si="10"/>
        <v/>
      </c>
      <c r="B148" s="82" t="str" cm="1">
        <f t="array" ref="B148">IFERROR(INDEX('Portfolio 3_2'!$O$3:$AK$101,'Portfolio 3_2'!$AO45,2),"")</f>
        <v/>
      </c>
      <c r="C148" s="1" t="str">
        <f t="shared" si="7"/>
        <v/>
      </c>
      <c r="D148" s="1" t="str">
        <f t="shared" si="8"/>
        <v/>
      </c>
      <c r="E148" s="82" t="str" cm="1">
        <f t="array" ref="E148">IFERROR(INDEX('Portfolio 3_2'!$O$3:$AK$101,'Portfolio 3_2'!$AO45,3),"")</f>
        <v/>
      </c>
      <c r="F148" s="82" t="str" cm="1">
        <f t="array" ref="F148">IFERROR(INDEX('Portfolio 3_2'!$O$3:$AK$101,'Portfolio 3_2'!$AO45,4),"")</f>
        <v/>
      </c>
      <c r="G148" s="82" t="str" cm="1">
        <f t="array" ref="G148">IFERROR(INDEX('Portfolio 3_2'!$O$3:$AK$101,'Portfolio 3_2'!$AO45,5),"")</f>
        <v/>
      </c>
      <c r="H148" s="82" t="str" cm="1">
        <f t="array" ref="H148">IFERROR(INDEX('Portfolio 3_2'!$O$3:$AK$101,'Portfolio 3_2'!$AO45,6),"")</f>
        <v/>
      </c>
      <c r="I148" s="82" t="str" cm="1">
        <f t="array" ref="I148">IFERROR(INDEX('Portfolio 3_2'!$O$3:$AK$101,'Portfolio 3_2'!$AO45,7),"")</f>
        <v/>
      </c>
      <c r="J148" s="82" t="str" cm="1">
        <f t="array" ref="J148">IFERROR(INDEX('Portfolio 3_2'!$O$3:$AK$101,'Portfolio 3_2'!$AO45,8),"")</f>
        <v/>
      </c>
      <c r="K148" s="82" t="str" cm="1">
        <f t="array" ref="K148">IFERROR(INDEX('Portfolio 3_2'!$O$3:$AK$101,'Portfolio 3_2'!$AO45,9),"")</f>
        <v/>
      </c>
      <c r="L148" s="82" t="str" cm="1">
        <f t="array" ref="L148">IFERROR(INDEX('Portfolio 3_2'!$O$3:$AK$101,'Portfolio 3_2'!$AO45,12),"")</f>
        <v/>
      </c>
      <c r="M148" s="82" t="str" cm="1">
        <f t="array" ref="M148">IFERROR(INDEX('Portfolio 3_2'!$O$3:$AK$101,'Portfolio 3_2'!$AO45,10),"")</f>
        <v/>
      </c>
      <c r="N148" s="82" t="str" cm="1">
        <f t="array" ref="N148">IFERROR(INDEX('Portfolio 3_2'!$O$3:$AK$101,'Portfolio 3_2'!$AO45,11),"")</f>
        <v/>
      </c>
      <c r="O148" s="82" t="str" cm="1">
        <f t="array" ref="O148">IFERROR(INDEX('Portfolio 3_2'!$O$3:$AK$101,'Portfolio 3_2'!$AO45,13),"")</f>
        <v/>
      </c>
      <c r="P148" s="82" t="str" cm="1">
        <f t="array" ref="P148">IFERROR(IF(ISNUMBER(FIND("กรุงเทพ",INDEX('Portfolio 3_2'!$O$3:$AK$101,'Portfolio 3_2'!$AO46,14))),"กรุงเทพมหานคร",INDEX('Portfolio 3_2'!$O$3:$AK$101,'Portfolio 3_2'!$AO45,14)),"")</f>
        <v/>
      </c>
      <c r="Q148" s="82" t="str" cm="1">
        <f t="array" ref="Q148">IFERROR(INDEX('Portfolio 3_2'!$O$3:$AK$101,'Portfolio 3_2'!$AO45,15),"")</f>
        <v/>
      </c>
      <c r="R148" s="82" t="str" cm="1">
        <f t="array" ref="R148">IFERROR(TEXT(INDEX('Portfolio 3_2'!$O$3:$AK$101,'Portfolio 3_2'!$AO45,16),"dd/mm/yyyy"),"")</f>
        <v/>
      </c>
      <c r="S148" s="82" t="str" cm="1">
        <f t="array" ref="S148">IFERROR(INDEX('Portfolio 3_2'!$O$3:$AK$101,'Portfolio 3_2'!$AO45,20),"")</f>
        <v/>
      </c>
      <c r="T148" s="82" t="str" cm="1">
        <f t="array" ref="T148">IFERROR(INDEX('Portfolio 3_2'!$O$3:$AK$101,'Portfolio 3_2'!$AO45,17),"")</f>
        <v/>
      </c>
      <c r="U148" s="82" t="str" cm="1">
        <f t="array" ref="U148">IFERROR(INDEX('Portfolio 3_2'!$O$3:$AK$101,'Portfolio 3_2'!$AO45,18),"")</f>
        <v/>
      </c>
      <c r="V148" s="82" t="str" cm="1">
        <f t="array" ref="V148">IFERROR(INDEX('Portfolio 3_2'!$O$3:$AK$101,'Portfolio 3_2'!$AO45,19),"")</f>
        <v/>
      </c>
      <c r="W148" s="1" t="str">
        <f t="shared" si="9"/>
        <v/>
      </c>
    </row>
    <row r="149" spans="1:23">
      <c r="A149" s="92" t="str">
        <f t="shared" si="10"/>
        <v/>
      </c>
      <c r="B149" s="82" t="str" cm="1">
        <f t="array" ref="B149">IFERROR(INDEX('Portfolio 3_2'!$O$3:$AK$101,'Portfolio 3_2'!$AO46,2),"")</f>
        <v/>
      </c>
      <c r="C149" s="1" t="str">
        <f t="shared" si="7"/>
        <v/>
      </c>
      <c r="D149" s="1" t="str">
        <f t="shared" si="8"/>
        <v/>
      </c>
      <c r="E149" s="82" t="str" cm="1">
        <f t="array" ref="E149">IFERROR(INDEX('Portfolio 3_2'!$O$3:$AK$101,'Portfolio 3_2'!$AO46,3),"")</f>
        <v/>
      </c>
      <c r="F149" s="82" t="str" cm="1">
        <f t="array" ref="F149">IFERROR(INDEX('Portfolio 3_2'!$O$3:$AK$101,'Portfolio 3_2'!$AO46,4),"")</f>
        <v/>
      </c>
      <c r="G149" s="82" t="str" cm="1">
        <f t="array" ref="G149">IFERROR(INDEX('Portfolio 3_2'!$O$3:$AK$101,'Portfolio 3_2'!$AO46,5),"")</f>
        <v/>
      </c>
      <c r="H149" s="82" t="str" cm="1">
        <f t="array" ref="H149">IFERROR(INDEX('Portfolio 3_2'!$O$3:$AK$101,'Portfolio 3_2'!$AO46,6),"")</f>
        <v/>
      </c>
      <c r="I149" s="82" t="str" cm="1">
        <f t="array" ref="I149">IFERROR(INDEX('Portfolio 3_2'!$O$3:$AK$101,'Portfolio 3_2'!$AO46,7),"")</f>
        <v/>
      </c>
      <c r="J149" s="82" t="str" cm="1">
        <f t="array" ref="J149">IFERROR(INDEX('Portfolio 3_2'!$O$3:$AK$101,'Portfolio 3_2'!$AO46,8),"")</f>
        <v/>
      </c>
      <c r="K149" s="82" t="str" cm="1">
        <f t="array" ref="K149">IFERROR(INDEX('Portfolio 3_2'!$O$3:$AK$101,'Portfolio 3_2'!$AO46,9),"")</f>
        <v/>
      </c>
      <c r="L149" s="82" t="str" cm="1">
        <f t="array" ref="L149">IFERROR(INDEX('Portfolio 3_2'!$O$3:$AK$101,'Portfolio 3_2'!$AO46,12),"")</f>
        <v/>
      </c>
      <c r="M149" s="82" t="str" cm="1">
        <f t="array" ref="M149">IFERROR(INDEX('Portfolio 3_2'!$O$3:$AK$101,'Portfolio 3_2'!$AO46,10),"")</f>
        <v/>
      </c>
      <c r="N149" s="82" t="str" cm="1">
        <f t="array" ref="N149">IFERROR(INDEX('Portfolio 3_2'!$O$3:$AK$101,'Portfolio 3_2'!$AO46,11),"")</f>
        <v/>
      </c>
      <c r="O149" s="82" t="str" cm="1">
        <f t="array" ref="O149">IFERROR(INDEX('Portfolio 3_2'!$O$3:$AK$101,'Portfolio 3_2'!$AO46,13),"")</f>
        <v/>
      </c>
      <c r="P149" s="82" t="str" cm="1">
        <f t="array" ref="P149">IFERROR(IF(ISNUMBER(FIND("กรุงเทพ",INDEX('Portfolio 3_2'!$O$3:$AK$101,'Portfolio 3_2'!$AO47,14))),"กรุงเทพมหานคร",INDEX('Portfolio 3_2'!$O$3:$AK$101,'Portfolio 3_2'!$AO46,14)),"")</f>
        <v/>
      </c>
      <c r="Q149" s="82" t="str" cm="1">
        <f t="array" ref="Q149">IFERROR(INDEX('Portfolio 3_2'!$O$3:$AK$101,'Portfolio 3_2'!$AO46,15),"")</f>
        <v/>
      </c>
      <c r="R149" s="82" t="str" cm="1">
        <f t="array" ref="R149">IFERROR(TEXT(INDEX('Portfolio 3_2'!$O$3:$AK$101,'Portfolio 3_2'!$AO46,16),"dd/mm/yyyy"),"")</f>
        <v/>
      </c>
      <c r="S149" s="82" t="str" cm="1">
        <f t="array" ref="S149">IFERROR(INDEX('Portfolio 3_2'!$O$3:$AK$101,'Portfolio 3_2'!$AO46,20),"")</f>
        <v/>
      </c>
      <c r="T149" s="82" t="str" cm="1">
        <f t="array" ref="T149">IFERROR(INDEX('Portfolio 3_2'!$O$3:$AK$101,'Portfolio 3_2'!$AO46,17),"")</f>
        <v/>
      </c>
      <c r="U149" s="82" t="str" cm="1">
        <f t="array" ref="U149">IFERROR(INDEX('Portfolio 3_2'!$O$3:$AK$101,'Portfolio 3_2'!$AO46,18),"")</f>
        <v/>
      </c>
      <c r="V149" s="82" t="str" cm="1">
        <f t="array" ref="V149">IFERROR(INDEX('Portfolio 3_2'!$O$3:$AK$101,'Portfolio 3_2'!$AO46,19),"")</f>
        <v/>
      </c>
      <c r="W149" s="1" t="str">
        <f t="shared" si="9"/>
        <v/>
      </c>
    </row>
    <row r="150" spans="1:23">
      <c r="A150" s="92" t="str">
        <f t="shared" si="10"/>
        <v/>
      </c>
      <c r="B150" s="82" t="str" cm="1">
        <f t="array" ref="B150">IFERROR(INDEX('Portfolio 3_2'!$O$3:$AK$101,'Portfolio 3_2'!$AO47,2),"")</f>
        <v/>
      </c>
      <c r="C150" s="1" t="str">
        <f t="shared" si="7"/>
        <v/>
      </c>
      <c r="D150" s="1" t="str">
        <f t="shared" si="8"/>
        <v/>
      </c>
      <c r="E150" s="82" t="str" cm="1">
        <f t="array" ref="E150">IFERROR(INDEX('Portfolio 3_2'!$O$3:$AK$101,'Portfolio 3_2'!$AO47,3),"")</f>
        <v/>
      </c>
      <c r="F150" s="82" t="str" cm="1">
        <f t="array" ref="F150">IFERROR(INDEX('Portfolio 3_2'!$O$3:$AK$101,'Portfolio 3_2'!$AO47,4),"")</f>
        <v/>
      </c>
      <c r="G150" s="82" t="str" cm="1">
        <f t="array" ref="G150">IFERROR(INDEX('Portfolio 3_2'!$O$3:$AK$101,'Portfolio 3_2'!$AO47,5),"")</f>
        <v/>
      </c>
      <c r="H150" s="82" t="str" cm="1">
        <f t="array" ref="H150">IFERROR(INDEX('Portfolio 3_2'!$O$3:$AK$101,'Portfolio 3_2'!$AO47,6),"")</f>
        <v/>
      </c>
      <c r="I150" s="82" t="str" cm="1">
        <f t="array" ref="I150">IFERROR(INDEX('Portfolio 3_2'!$O$3:$AK$101,'Portfolio 3_2'!$AO47,7),"")</f>
        <v/>
      </c>
      <c r="J150" s="82" t="str" cm="1">
        <f t="array" ref="J150">IFERROR(INDEX('Portfolio 3_2'!$O$3:$AK$101,'Portfolio 3_2'!$AO47,8),"")</f>
        <v/>
      </c>
      <c r="K150" s="82" t="str" cm="1">
        <f t="array" ref="K150">IFERROR(INDEX('Portfolio 3_2'!$O$3:$AK$101,'Portfolio 3_2'!$AO47,9),"")</f>
        <v/>
      </c>
      <c r="L150" s="82" t="str" cm="1">
        <f t="array" ref="L150">IFERROR(INDEX('Portfolio 3_2'!$O$3:$AK$101,'Portfolio 3_2'!$AO47,12),"")</f>
        <v/>
      </c>
      <c r="M150" s="82" t="str" cm="1">
        <f t="array" ref="M150">IFERROR(INDEX('Portfolio 3_2'!$O$3:$AK$101,'Portfolio 3_2'!$AO47,10),"")</f>
        <v/>
      </c>
      <c r="N150" s="82" t="str" cm="1">
        <f t="array" ref="N150">IFERROR(INDEX('Portfolio 3_2'!$O$3:$AK$101,'Portfolio 3_2'!$AO47,11),"")</f>
        <v/>
      </c>
      <c r="O150" s="82" t="str" cm="1">
        <f t="array" ref="O150">IFERROR(INDEX('Portfolio 3_2'!$O$3:$AK$101,'Portfolio 3_2'!$AO47,13),"")</f>
        <v/>
      </c>
      <c r="P150" s="82" t="str" cm="1">
        <f t="array" ref="P150">IFERROR(IF(ISNUMBER(FIND("กรุงเทพ",INDEX('Portfolio 3_2'!$O$3:$AK$101,'Portfolio 3_2'!$AO48,14))),"กรุงเทพมหานคร",INDEX('Portfolio 3_2'!$O$3:$AK$101,'Portfolio 3_2'!$AO47,14)),"")</f>
        <v/>
      </c>
      <c r="Q150" s="82" t="str" cm="1">
        <f t="array" ref="Q150">IFERROR(INDEX('Portfolio 3_2'!$O$3:$AK$101,'Portfolio 3_2'!$AO47,15),"")</f>
        <v/>
      </c>
      <c r="R150" s="82" t="str" cm="1">
        <f t="array" ref="R150">IFERROR(TEXT(INDEX('Portfolio 3_2'!$O$3:$AK$101,'Portfolio 3_2'!$AO47,16),"dd/mm/yyyy"),"")</f>
        <v/>
      </c>
      <c r="S150" s="82" t="str" cm="1">
        <f t="array" ref="S150">IFERROR(INDEX('Portfolio 3_2'!$O$3:$AK$101,'Portfolio 3_2'!$AO47,20),"")</f>
        <v/>
      </c>
      <c r="T150" s="82" t="str" cm="1">
        <f t="array" ref="T150">IFERROR(INDEX('Portfolio 3_2'!$O$3:$AK$101,'Portfolio 3_2'!$AO47,17),"")</f>
        <v/>
      </c>
      <c r="U150" s="82" t="str" cm="1">
        <f t="array" ref="U150">IFERROR(INDEX('Portfolio 3_2'!$O$3:$AK$101,'Portfolio 3_2'!$AO47,18),"")</f>
        <v/>
      </c>
      <c r="V150" s="82" t="str" cm="1">
        <f t="array" ref="V150">IFERROR(INDEX('Portfolio 3_2'!$O$3:$AK$101,'Portfolio 3_2'!$AO47,19),"")</f>
        <v/>
      </c>
      <c r="W150" s="1" t="str">
        <f t="shared" si="9"/>
        <v/>
      </c>
    </row>
    <row r="151" spans="1:23">
      <c r="A151" s="92" t="str">
        <f t="shared" si="10"/>
        <v/>
      </c>
      <c r="B151" s="82" t="str" cm="1">
        <f t="array" ref="B151">IFERROR(INDEX('Portfolio 3_2'!$O$3:$AK$101,'Portfolio 3_2'!$AO48,2),"")</f>
        <v/>
      </c>
      <c r="C151" s="1" t="str">
        <f t="shared" si="7"/>
        <v/>
      </c>
      <c r="D151" s="1" t="str">
        <f t="shared" si="8"/>
        <v/>
      </c>
      <c r="E151" s="82" t="str" cm="1">
        <f t="array" ref="E151">IFERROR(INDEX('Portfolio 3_2'!$O$3:$AK$101,'Portfolio 3_2'!$AO48,3),"")</f>
        <v/>
      </c>
      <c r="F151" s="82" t="str" cm="1">
        <f t="array" ref="F151">IFERROR(INDEX('Portfolio 3_2'!$O$3:$AK$101,'Portfolio 3_2'!$AO48,4),"")</f>
        <v/>
      </c>
      <c r="G151" s="82" t="str" cm="1">
        <f t="array" ref="G151">IFERROR(INDEX('Portfolio 3_2'!$O$3:$AK$101,'Portfolio 3_2'!$AO48,5),"")</f>
        <v/>
      </c>
      <c r="H151" s="82" t="str" cm="1">
        <f t="array" ref="H151">IFERROR(INDEX('Portfolio 3_2'!$O$3:$AK$101,'Portfolio 3_2'!$AO48,6),"")</f>
        <v/>
      </c>
      <c r="I151" s="82" t="str" cm="1">
        <f t="array" ref="I151">IFERROR(INDEX('Portfolio 3_2'!$O$3:$AK$101,'Portfolio 3_2'!$AO48,7),"")</f>
        <v/>
      </c>
      <c r="J151" s="82" t="str" cm="1">
        <f t="array" ref="J151">IFERROR(INDEX('Portfolio 3_2'!$O$3:$AK$101,'Portfolio 3_2'!$AO48,8),"")</f>
        <v/>
      </c>
      <c r="K151" s="82" t="str" cm="1">
        <f t="array" ref="K151">IFERROR(INDEX('Portfolio 3_2'!$O$3:$AK$101,'Portfolio 3_2'!$AO48,9),"")</f>
        <v/>
      </c>
      <c r="L151" s="82" t="str" cm="1">
        <f t="array" ref="L151">IFERROR(INDEX('Portfolio 3_2'!$O$3:$AK$101,'Portfolio 3_2'!$AO48,12),"")</f>
        <v/>
      </c>
      <c r="M151" s="82" t="str" cm="1">
        <f t="array" ref="M151">IFERROR(INDEX('Portfolio 3_2'!$O$3:$AK$101,'Portfolio 3_2'!$AO48,10),"")</f>
        <v/>
      </c>
      <c r="N151" s="82" t="str" cm="1">
        <f t="array" ref="N151">IFERROR(INDEX('Portfolio 3_2'!$O$3:$AK$101,'Portfolio 3_2'!$AO48,11),"")</f>
        <v/>
      </c>
      <c r="O151" s="82" t="str" cm="1">
        <f t="array" ref="O151">IFERROR(INDEX('Portfolio 3_2'!$O$3:$AK$101,'Portfolio 3_2'!$AO48,13),"")</f>
        <v/>
      </c>
      <c r="P151" s="82" t="str" cm="1">
        <f t="array" ref="P151">IFERROR(IF(ISNUMBER(FIND("กรุงเทพ",INDEX('Portfolio 3_2'!$O$3:$AK$101,'Portfolio 3_2'!$AO49,14))),"กรุงเทพมหานคร",INDEX('Portfolio 3_2'!$O$3:$AK$101,'Portfolio 3_2'!$AO48,14)),"")</f>
        <v/>
      </c>
      <c r="Q151" s="82" t="str" cm="1">
        <f t="array" ref="Q151">IFERROR(INDEX('Portfolio 3_2'!$O$3:$AK$101,'Portfolio 3_2'!$AO48,15),"")</f>
        <v/>
      </c>
      <c r="R151" s="82" t="str" cm="1">
        <f t="array" ref="R151">IFERROR(TEXT(INDEX('Portfolio 3_2'!$O$3:$AK$101,'Portfolio 3_2'!$AO48,16),"dd/mm/yyyy"),"")</f>
        <v/>
      </c>
      <c r="S151" s="82" t="str" cm="1">
        <f t="array" ref="S151">IFERROR(INDEX('Portfolio 3_2'!$O$3:$AK$101,'Portfolio 3_2'!$AO48,20),"")</f>
        <v/>
      </c>
      <c r="T151" s="82" t="str" cm="1">
        <f t="array" ref="T151">IFERROR(INDEX('Portfolio 3_2'!$O$3:$AK$101,'Portfolio 3_2'!$AO48,17),"")</f>
        <v/>
      </c>
      <c r="U151" s="82" t="str" cm="1">
        <f t="array" ref="U151">IFERROR(INDEX('Portfolio 3_2'!$O$3:$AK$101,'Portfolio 3_2'!$AO48,18),"")</f>
        <v/>
      </c>
      <c r="V151" s="82" t="str" cm="1">
        <f t="array" ref="V151">IFERROR(INDEX('Portfolio 3_2'!$O$3:$AK$101,'Portfolio 3_2'!$AO48,19),"")</f>
        <v/>
      </c>
      <c r="W151" s="1" t="str">
        <f t="shared" si="9"/>
        <v/>
      </c>
    </row>
    <row r="152" spans="1:23">
      <c r="A152" s="92" t="str">
        <f t="shared" si="10"/>
        <v/>
      </c>
      <c r="B152" s="82" t="str" cm="1">
        <f t="array" ref="B152">IFERROR(INDEX('Portfolio 3_2'!$O$3:$AK$101,'Portfolio 3_2'!$AO49,2),"")</f>
        <v/>
      </c>
      <c r="C152" s="1" t="str">
        <f t="shared" si="7"/>
        <v/>
      </c>
      <c r="D152" s="1" t="str">
        <f t="shared" si="8"/>
        <v/>
      </c>
      <c r="E152" s="82" t="str" cm="1">
        <f t="array" ref="E152">IFERROR(INDEX('Portfolio 3_2'!$O$3:$AK$101,'Portfolio 3_2'!$AO49,3),"")</f>
        <v/>
      </c>
      <c r="F152" s="82" t="str" cm="1">
        <f t="array" ref="F152">IFERROR(INDEX('Portfolio 3_2'!$O$3:$AK$101,'Portfolio 3_2'!$AO49,4),"")</f>
        <v/>
      </c>
      <c r="G152" s="82" t="str" cm="1">
        <f t="array" ref="G152">IFERROR(INDEX('Portfolio 3_2'!$O$3:$AK$101,'Portfolio 3_2'!$AO49,5),"")</f>
        <v/>
      </c>
      <c r="H152" s="82" t="str" cm="1">
        <f t="array" ref="H152">IFERROR(INDEX('Portfolio 3_2'!$O$3:$AK$101,'Portfolio 3_2'!$AO49,6),"")</f>
        <v/>
      </c>
      <c r="I152" s="82" t="str" cm="1">
        <f t="array" ref="I152">IFERROR(INDEX('Portfolio 3_2'!$O$3:$AK$101,'Portfolio 3_2'!$AO49,7),"")</f>
        <v/>
      </c>
      <c r="J152" s="82" t="str" cm="1">
        <f t="array" ref="J152">IFERROR(INDEX('Portfolio 3_2'!$O$3:$AK$101,'Portfolio 3_2'!$AO49,8),"")</f>
        <v/>
      </c>
      <c r="K152" s="82" t="str" cm="1">
        <f t="array" ref="K152">IFERROR(INDEX('Portfolio 3_2'!$O$3:$AK$101,'Portfolio 3_2'!$AO49,9),"")</f>
        <v/>
      </c>
      <c r="L152" s="82" t="str" cm="1">
        <f t="array" ref="L152">IFERROR(INDEX('Portfolio 3_2'!$O$3:$AK$101,'Portfolio 3_2'!$AO49,12),"")</f>
        <v/>
      </c>
      <c r="M152" s="82" t="str" cm="1">
        <f t="array" ref="M152">IFERROR(INDEX('Portfolio 3_2'!$O$3:$AK$101,'Portfolio 3_2'!$AO49,10),"")</f>
        <v/>
      </c>
      <c r="N152" s="82" t="str" cm="1">
        <f t="array" ref="N152">IFERROR(INDEX('Portfolio 3_2'!$O$3:$AK$101,'Portfolio 3_2'!$AO49,11),"")</f>
        <v/>
      </c>
      <c r="O152" s="82" t="str" cm="1">
        <f t="array" ref="O152">IFERROR(INDEX('Portfolio 3_2'!$O$3:$AK$101,'Portfolio 3_2'!$AO49,13),"")</f>
        <v/>
      </c>
      <c r="P152" s="82" t="str" cm="1">
        <f t="array" ref="P152">IFERROR(IF(ISNUMBER(FIND("กรุงเทพ",INDEX('Portfolio 3_2'!$O$3:$AK$101,'Portfolio 3_2'!$AO50,14))),"กรุงเทพมหานคร",INDEX('Portfolio 3_2'!$O$3:$AK$101,'Portfolio 3_2'!$AO49,14)),"")</f>
        <v/>
      </c>
      <c r="Q152" s="82" t="str" cm="1">
        <f t="array" ref="Q152">IFERROR(INDEX('Portfolio 3_2'!$O$3:$AK$101,'Portfolio 3_2'!$AO49,15),"")</f>
        <v/>
      </c>
      <c r="R152" s="82" t="str" cm="1">
        <f t="array" ref="R152">IFERROR(TEXT(INDEX('Portfolio 3_2'!$O$3:$AK$101,'Portfolio 3_2'!$AO49,16),"dd/mm/yyyy"),"")</f>
        <v/>
      </c>
      <c r="S152" s="82" t="str" cm="1">
        <f t="array" ref="S152">IFERROR(INDEX('Portfolio 3_2'!$O$3:$AK$101,'Portfolio 3_2'!$AO49,20),"")</f>
        <v/>
      </c>
      <c r="T152" s="82" t="str" cm="1">
        <f t="array" ref="T152">IFERROR(INDEX('Portfolio 3_2'!$O$3:$AK$101,'Portfolio 3_2'!$AO49,17),"")</f>
        <v/>
      </c>
      <c r="U152" s="82" t="str" cm="1">
        <f t="array" ref="U152">IFERROR(INDEX('Portfolio 3_2'!$O$3:$AK$101,'Portfolio 3_2'!$AO49,18),"")</f>
        <v/>
      </c>
      <c r="V152" s="82" t="str" cm="1">
        <f t="array" ref="V152">IFERROR(INDEX('Portfolio 3_2'!$O$3:$AK$101,'Portfolio 3_2'!$AO49,19),"")</f>
        <v/>
      </c>
      <c r="W152" s="1" t="str">
        <f t="shared" si="9"/>
        <v/>
      </c>
    </row>
    <row r="153" spans="1:23">
      <c r="A153" s="92" t="str">
        <f t="shared" si="10"/>
        <v/>
      </c>
      <c r="B153" s="82" t="str" cm="1">
        <f t="array" ref="B153">IFERROR(INDEX('Portfolio 3_2'!$O$3:$AK$101,'Portfolio 3_2'!$AO50,2),"")</f>
        <v/>
      </c>
      <c r="C153" s="1" t="str">
        <f t="shared" si="7"/>
        <v/>
      </c>
      <c r="D153" s="1" t="str">
        <f t="shared" si="8"/>
        <v/>
      </c>
      <c r="E153" s="82" t="str" cm="1">
        <f t="array" ref="E153">IFERROR(INDEX('Portfolio 3_2'!$O$3:$AK$101,'Portfolio 3_2'!$AO50,3),"")</f>
        <v/>
      </c>
      <c r="F153" s="82" t="str" cm="1">
        <f t="array" ref="F153">IFERROR(INDEX('Portfolio 3_2'!$O$3:$AK$101,'Portfolio 3_2'!$AO50,4),"")</f>
        <v/>
      </c>
      <c r="G153" s="82" t="str" cm="1">
        <f t="array" ref="G153">IFERROR(INDEX('Portfolio 3_2'!$O$3:$AK$101,'Portfolio 3_2'!$AO50,5),"")</f>
        <v/>
      </c>
      <c r="H153" s="82" t="str" cm="1">
        <f t="array" ref="H153">IFERROR(INDEX('Portfolio 3_2'!$O$3:$AK$101,'Portfolio 3_2'!$AO50,6),"")</f>
        <v/>
      </c>
      <c r="I153" s="82" t="str" cm="1">
        <f t="array" ref="I153">IFERROR(INDEX('Portfolio 3_2'!$O$3:$AK$101,'Portfolio 3_2'!$AO50,7),"")</f>
        <v/>
      </c>
      <c r="J153" s="82" t="str" cm="1">
        <f t="array" ref="J153">IFERROR(INDEX('Portfolio 3_2'!$O$3:$AK$101,'Portfolio 3_2'!$AO50,8),"")</f>
        <v/>
      </c>
      <c r="K153" s="82" t="str" cm="1">
        <f t="array" ref="K153">IFERROR(INDEX('Portfolio 3_2'!$O$3:$AK$101,'Portfolio 3_2'!$AO50,9),"")</f>
        <v/>
      </c>
      <c r="L153" s="82" t="str" cm="1">
        <f t="array" ref="L153">IFERROR(INDEX('Portfolio 3_2'!$O$3:$AK$101,'Portfolio 3_2'!$AO50,12),"")</f>
        <v/>
      </c>
      <c r="M153" s="82" t="str" cm="1">
        <f t="array" ref="M153">IFERROR(INDEX('Portfolio 3_2'!$O$3:$AK$101,'Portfolio 3_2'!$AO50,10),"")</f>
        <v/>
      </c>
      <c r="N153" s="82" t="str" cm="1">
        <f t="array" ref="N153">IFERROR(INDEX('Portfolio 3_2'!$O$3:$AK$101,'Portfolio 3_2'!$AO50,11),"")</f>
        <v/>
      </c>
      <c r="O153" s="82" t="str" cm="1">
        <f t="array" ref="O153">IFERROR(INDEX('Portfolio 3_2'!$O$3:$AK$101,'Portfolio 3_2'!$AO50,13),"")</f>
        <v/>
      </c>
      <c r="P153" s="82" t="str" cm="1">
        <f t="array" ref="P153">IFERROR(IF(ISNUMBER(FIND("กรุงเทพ",INDEX('Portfolio 3_2'!$O$3:$AK$101,'Portfolio 3_2'!$AO51,14))),"กรุงเทพมหานคร",INDEX('Portfolio 3_2'!$O$3:$AK$101,'Portfolio 3_2'!$AO50,14)),"")</f>
        <v/>
      </c>
      <c r="Q153" s="82" t="str" cm="1">
        <f t="array" ref="Q153">IFERROR(INDEX('Portfolio 3_2'!$O$3:$AK$101,'Portfolio 3_2'!$AO50,15),"")</f>
        <v/>
      </c>
      <c r="R153" s="82" t="str" cm="1">
        <f t="array" ref="R153">IFERROR(TEXT(INDEX('Portfolio 3_2'!$O$3:$AK$101,'Portfolio 3_2'!$AO50,16),"dd/mm/yyyy"),"")</f>
        <v/>
      </c>
      <c r="S153" s="82" t="str" cm="1">
        <f t="array" ref="S153">IFERROR(INDEX('Portfolio 3_2'!$O$3:$AK$101,'Portfolio 3_2'!$AO50,20),"")</f>
        <v/>
      </c>
      <c r="T153" s="82" t="str" cm="1">
        <f t="array" ref="T153">IFERROR(INDEX('Portfolio 3_2'!$O$3:$AK$101,'Portfolio 3_2'!$AO50,17),"")</f>
        <v/>
      </c>
      <c r="U153" s="82" t="str" cm="1">
        <f t="array" ref="U153">IFERROR(INDEX('Portfolio 3_2'!$O$3:$AK$101,'Portfolio 3_2'!$AO50,18),"")</f>
        <v/>
      </c>
      <c r="V153" s="82" t="str" cm="1">
        <f t="array" ref="V153">IFERROR(INDEX('Portfolio 3_2'!$O$3:$AK$101,'Portfolio 3_2'!$AO50,19),"")</f>
        <v/>
      </c>
      <c r="W153" s="1" t="str">
        <f t="shared" si="9"/>
        <v/>
      </c>
    </row>
    <row r="154" spans="1:23">
      <c r="A154" s="92" t="str">
        <f t="shared" si="10"/>
        <v/>
      </c>
      <c r="B154" s="82" t="str" cm="1">
        <f t="array" ref="B154">IFERROR(INDEX('Portfolio 3_2'!$O$3:$AK$101,'Portfolio 3_2'!$AO51,2),"")</f>
        <v/>
      </c>
      <c r="C154" s="1" t="str">
        <f t="shared" si="7"/>
        <v/>
      </c>
      <c r="D154" s="1" t="str">
        <f t="shared" si="8"/>
        <v/>
      </c>
      <c r="E154" s="82" t="str" cm="1">
        <f t="array" ref="E154">IFERROR(INDEX('Portfolio 3_2'!$O$3:$AK$101,'Portfolio 3_2'!$AO51,3),"")</f>
        <v/>
      </c>
      <c r="F154" s="82" t="str" cm="1">
        <f t="array" ref="F154">IFERROR(INDEX('Portfolio 3_2'!$O$3:$AK$101,'Portfolio 3_2'!$AO51,4),"")</f>
        <v/>
      </c>
      <c r="G154" s="82" t="str" cm="1">
        <f t="array" ref="G154">IFERROR(INDEX('Portfolio 3_2'!$O$3:$AK$101,'Portfolio 3_2'!$AO51,5),"")</f>
        <v/>
      </c>
      <c r="H154" s="82" t="str" cm="1">
        <f t="array" ref="H154">IFERROR(INDEX('Portfolio 3_2'!$O$3:$AK$101,'Portfolio 3_2'!$AO51,6),"")</f>
        <v/>
      </c>
      <c r="I154" s="82" t="str" cm="1">
        <f t="array" ref="I154">IFERROR(INDEX('Portfolio 3_2'!$O$3:$AK$101,'Portfolio 3_2'!$AO51,7),"")</f>
        <v/>
      </c>
      <c r="J154" s="82" t="str" cm="1">
        <f t="array" ref="J154">IFERROR(INDEX('Portfolio 3_2'!$O$3:$AK$101,'Portfolio 3_2'!$AO51,8),"")</f>
        <v/>
      </c>
      <c r="K154" s="82" t="str" cm="1">
        <f t="array" ref="K154">IFERROR(INDEX('Portfolio 3_2'!$O$3:$AK$101,'Portfolio 3_2'!$AO51,9),"")</f>
        <v/>
      </c>
      <c r="L154" s="82" t="str" cm="1">
        <f t="array" ref="L154">IFERROR(INDEX('Portfolio 3_2'!$O$3:$AK$101,'Portfolio 3_2'!$AO51,12),"")</f>
        <v/>
      </c>
      <c r="M154" s="82" t="str" cm="1">
        <f t="array" ref="M154">IFERROR(INDEX('Portfolio 3_2'!$O$3:$AK$101,'Portfolio 3_2'!$AO51,10),"")</f>
        <v/>
      </c>
      <c r="N154" s="82" t="str" cm="1">
        <f t="array" ref="N154">IFERROR(INDEX('Portfolio 3_2'!$O$3:$AK$101,'Portfolio 3_2'!$AO51,11),"")</f>
        <v/>
      </c>
      <c r="O154" s="82" t="str" cm="1">
        <f t="array" ref="O154">IFERROR(INDEX('Portfolio 3_2'!$O$3:$AK$101,'Portfolio 3_2'!$AO51,13),"")</f>
        <v/>
      </c>
      <c r="P154" s="82" t="str" cm="1">
        <f t="array" ref="P154">IFERROR(IF(ISNUMBER(FIND("กรุงเทพ",INDEX('Portfolio 3_2'!$O$3:$AK$101,'Portfolio 3_2'!$AO52,14))),"กรุงเทพมหานคร",INDEX('Portfolio 3_2'!$O$3:$AK$101,'Portfolio 3_2'!$AO51,14)),"")</f>
        <v/>
      </c>
      <c r="Q154" s="82" t="str" cm="1">
        <f t="array" ref="Q154">IFERROR(INDEX('Portfolio 3_2'!$O$3:$AK$101,'Portfolio 3_2'!$AO51,15),"")</f>
        <v/>
      </c>
      <c r="R154" s="82" t="str" cm="1">
        <f t="array" ref="R154">IFERROR(TEXT(INDEX('Portfolio 3_2'!$O$3:$AK$101,'Portfolio 3_2'!$AO51,16),"dd/mm/yyyy"),"")</f>
        <v/>
      </c>
      <c r="S154" s="82" t="str" cm="1">
        <f t="array" ref="S154">IFERROR(INDEX('Portfolio 3_2'!$O$3:$AK$101,'Portfolio 3_2'!$AO51,20),"")</f>
        <v/>
      </c>
      <c r="T154" s="82" t="str" cm="1">
        <f t="array" ref="T154">IFERROR(INDEX('Portfolio 3_2'!$O$3:$AK$101,'Portfolio 3_2'!$AO51,17),"")</f>
        <v/>
      </c>
      <c r="U154" s="82" t="str" cm="1">
        <f t="array" ref="U154">IFERROR(INDEX('Portfolio 3_2'!$O$3:$AK$101,'Portfolio 3_2'!$AO51,18),"")</f>
        <v/>
      </c>
      <c r="V154" s="82" t="str" cm="1">
        <f t="array" ref="V154">IFERROR(INDEX('Portfolio 3_2'!$O$3:$AK$101,'Portfolio 3_2'!$AO51,19),"")</f>
        <v/>
      </c>
      <c r="W154" s="1" t="str">
        <f t="shared" si="9"/>
        <v/>
      </c>
    </row>
    <row r="155" spans="1:23">
      <c r="A155" s="92" t="str">
        <f t="shared" si="10"/>
        <v/>
      </c>
      <c r="B155" s="82" t="str" cm="1">
        <f t="array" ref="B155">IFERROR(INDEX('Portfolio 3_2'!$O$3:$AK$101,'Portfolio 3_2'!$AO52,2),"")</f>
        <v/>
      </c>
      <c r="C155" s="1" t="str">
        <f t="shared" si="7"/>
        <v/>
      </c>
      <c r="D155" s="1" t="str">
        <f t="shared" si="8"/>
        <v/>
      </c>
      <c r="E155" s="82" t="str" cm="1">
        <f t="array" ref="E155">IFERROR(INDEX('Portfolio 3_2'!$O$3:$AK$101,'Portfolio 3_2'!$AO52,3),"")</f>
        <v/>
      </c>
      <c r="F155" s="82" t="str" cm="1">
        <f t="array" ref="F155">IFERROR(INDEX('Portfolio 3_2'!$O$3:$AK$101,'Portfolio 3_2'!$AO52,4),"")</f>
        <v/>
      </c>
      <c r="G155" s="82" t="str" cm="1">
        <f t="array" ref="G155">IFERROR(INDEX('Portfolio 3_2'!$O$3:$AK$101,'Portfolio 3_2'!$AO52,5),"")</f>
        <v/>
      </c>
      <c r="H155" s="82" t="str" cm="1">
        <f t="array" ref="H155">IFERROR(INDEX('Portfolio 3_2'!$O$3:$AK$101,'Portfolio 3_2'!$AO52,6),"")</f>
        <v/>
      </c>
      <c r="I155" s="82" t="str" cm="1">
        <f t="array" ref="I155">IFERROR(INDEX('Portfolio 3_2'!$O$3:$AK$101,'Portfolio 3_2'!$AO52,7),"")</f>
        <v/>
      </c>
      <c r="J155" s="82" t="str" cm="1">
        <f t="array" ref="J155">IFERROR(INDEX('Portfolio 3_2'!$O$3:$AK$101,'Portfolio 3_2'!$AO52,8),"")</f>
        <v/>
      </c>
      <c r="K155" s="82" t="str" cm="1">
        <f t="array" ref="K155">IFERROR(INDEX('Portfolio 3_2'!$O$3:$AK$101,'Portfolio 3_2'!$AO52,9),"")</f>
        <v/>
      </c>
      <c r="L155" s="82" t="str" cm="1">
        <f t="array" ref="L155">IFERROR(INDEX('Portfolio 3_2'!$O$3:$AK$101,'Portfolio 3_2'!$AO52,12),"")</f>
        <v/>
      </c>
      <c r="M155" s="82" t="str" cm="1">
        <f t="array" ref="M155">IFERROR(INDEX('Portfolio 3_2'!$O$3:$AK$101,'Portfolio 3_2'!$AO52,10),"")</f>
        <v/>
      </c>
      <c r="N155" s="82" t="str" cm="1">
        <f t="array" ref="N155">IFERROR(INDEX('Portfolio 3_2'!$O$3:$AK$101,'Portfolio 3_2'!$AO52,11),"")</f>
        <v/>
      </c>
      <c r="O155" s="82" t="str" cm="1">
        <f t="array" ref="O155">IFERROR(INDEX('Portfolio 3_2'!$O$3:$AK$101,'Portfolio 3_2'!$AO52,13),"")</f>
        <v/>
      </c>
      <c r="P155" s="82" t="str" cm="1">
        <f t="array" ref="P155">IFERROR(IF(ISNUMBER(FIND("กรุงเทพ",INDEX('Portfolio 3_2'!$O$3:$AK$101,'Portfolio 3_2'!$AO53,14))),"กรุงเทพมหานคร",INDEX('Portfolio 3_2'!$O$3:$AK$101,'Portfolio 3_2'!$AO52,14)),"")</f>
        <v/>
      </c>
      <c r="Q155" s="82" t="str" cm="1">
        <f t="array" ref="Q155">IFERROR(INDEX('Portfolio 3_2'!$O$3:$AK$101,'Portfolio 3_2'!$AO52,15),"")</f>
        <v/>
      </c>
      <c r="R155" s="82" t="str" cm="1">
        <f t="array" ref="R155">IFERROR(TEXT(INDEX('Portfolio 3_2'!$O$3:$AK$101,'Portfolio 3_2'!$AO52,16),"dd/mm/yyyy"),"")</f>
        <v/>
      </c>
      <c r="S155" s="82" t="str" cm="1">
        <f t="array" ref="S155">IFERROR(INDEX('Portfolio 3_2'!$O$3:$AK$101,'Portfolio 3_2'!$AO52,20),"")</f>
        <v/>
      </c>
      <c r="T155" s="82" t="str" cm="1">
        <f t="array" ref="T155">IFERROR(INDEX('Portfolio 3_2'!$O$3:$AK$101,'Portfolio 3_2'!$AO52,17),"")</f>
        <v/>
      </c>
      <c r="U155" s="82" t="str" cm="1">
        <f t="array" ref="U155">IFERROR(INDEX('Portfolio 3_2'!$O$3:$AK$101,'Portfolio 3_2'!$AO52,18),"")</f>
        <v/>
      </c>
      <c r="V155" s="82" t="str" cm="1">
        <f t="array" ref="V155">IFERROR(INDEX('Portfolio 3_2'!$O$3:$AK$101,'Portfolio 3_2'!$AO52,19),"")</f>
        <v/>
      </c>
      <c r="W155" s="1" t="str">
        <f t="shared" si="9"/>
        <v/>
      </c>
    </row>
    <row r="156" spans="1:23">
      <c r="A156" s="92" t="str">
        <f t="shared" si="10"/>
        <v/>
      </c>
      <c r="B156" s="82" t="str" cm="1">
        <f t="array" ref="B156">IFERROR(INDEX('Portfolio 3_2'!$O$3:$AK$101,'Portfolio 3_2'!$AO53,2),"")</f>
        <v/>
      </c>
      <c r="C156" s="1" t="str">
        <f t="shared" si="7"/>
        <v/>
      </c>
      <c r="D156" s="1" t="str">
        <f t="shared" si="8"/>
        <v/>
      </c>
      <c r="E156" s="82" t="str" cm="1">
        <f t="array" ref="E156">IFERROR(INDEX('Portfolio 3_2'!$O$3:$AK$101,'Portfolio 3_2'!$AO53,3),"")</f>
        <v/>
      </c>
      <c r="F156" s="82" t="str" cm="1">
        <f t="array" ref="F156">IFERROR(INDEX('Portfolio 3_2'!$O$3:$AK$101,'Portfolio 3_2'!$AO53,4),"")</f>
        <v/>
      </c>
      <c r="G156" s="82" t="str" cm="1">
        <f t="array" ref="G156">IFERROR(INDEX('Portfolio 3_2'!$O$3:$AK$101,'Portfolio 3_2'!$AO53,5),"")</f>
        <v/>
      </c>
      <c r="H156" s="82" t="str" cm="1">
        <f t="array" ref="H156">IFERROR(INDEX('Portfolio 3_2'!$O$3:$AK$101,'Portfolio 3_2'!$AO53,6),"")</f>
        <v/>
      </c>
      <c r="I156" s="82" t="str" cm="1">
        <f t="array" ref="I156">IFERROR(INDEX('Portfolio 3_2'!$O$3:$AK$101,'Portfolio 3_2'!$AO53,7),"")</f>
        <v/>
      </c>
      <c r="J156" s="82" t="str" cm="1">
        <f t="array" ref="J156">IFERROR(INDEX('Portfolio 3_2'!$O$3:$AK$101,'Portfolio 3_2'!$AO53,8),"")</f>
        <v/>
      </c>
      <c r="K156" s="82" t="str" cm="1">
        <f t="array" ref="K156">IFERROR(INDEX('Portfolio 3_2'!$O$3:$AK$101,'Portfolio 3_2'!$AO53,9),"")</f>
        <v/>
      </c>
      <c r="L156" s="82" t="str" cm="1">
        <f t="array" ref="L156">IFERROR(INDEX('Portfolio 3_2'!$O$3:$AK$101,'Portfolio 3_2'!$AO53,12),"")</f>
        <v/>
      </c>
      <c r="M156" s="82" t="str" cm="1">
        <f t="array" ref="M156">IFERROR(INDEX('Portfolio 3_2'!$O$3:$AK$101,'Portfolio 3_2'!$AO53,10),"")</f>
        <v/>
      </c>
      <c r="N156" s="82" t="str" cm="1">
        <f t="array" ref="N156">IFERROR(INDEX('Portfolio 3_2'!$O$3:$AK$101,'Portfolio 3_2'!$AO53,11),"")</f>
        <v/>
      </c>
      <c r="O156" s="82" t="str" cm="1">
        <f t="array" ref="O156">IFERROR(INDEX('Portfolio 3_2'!$O$3:$AK$101,'Portfolio 3_2'!$AO53,13),"")</f>
        <v/>
      </c>
      <c r="P156" s="82" t="str" cm="1">
        <f t="array" ref="P156">IFERROR(IF(ISNUMBER(FIND("กรุงเทพ",INDEX('Portfolio 3_2'!$O$3:$AK$101,'Portfolio 3_2'!$AO54,14))),"กรุงเทพมหานคร",INDEX('Portfolio 3_2'!$O$3:$AK$101,'Portfolio 3_2'!$AO53,14)),"")</f>
        <v/>
      </c>
      <c r="Q156" s="82" t="str" cm="1">
        <f t="array" ref="Q156">IFERROR(INDEX('Portfolio 3_2'!$O$3:$AK$101,'Portfolio 3_2'!$AO53,15),"")</f>
        <v/>
      </c>
      <c r="R156" s="82" t="str" cm="1">
        <f t="array" ref="R156">IFERROR(TEXT(INDEX('Portfolio 3_2'!$O$3:$AK$101,'Portfolio 3_2'!$AO53,16),"dd/mm/yyyy"),"")</f>
        <v/>
      </c>
      <c r="S156" s="82" t="str" cm="1">
        <f t="array" ref="S156">IFERROR(INDEX('Portfolio 3_2'!$O$3:$AK$101,'Portfolio 3_2'!$AO53,20),"")</f>
        <v/>
      </c>
      <c r="T156" s="82" t="str" cm="1">
        <f t="array" ref="T156">IFERROR(INDEX('Portfolio 3_2'!$O$3:$AK$101,'Portfolio 3_2'!$AO53,17),"")</f>
        <v/>
      </c>
      <c r="U156" s="82" t="str" cm="1">
        <f t="array" ref="U156">IFERROR(INDEX('Portfolio 3_2'!$O$3:$AK$101,'Portfolio 3_2'!$AO53,18),"")</f>
        <v/>
      </c>
      <c r="V156" s="82" t="str" cm="1">
        <f t="array" ref="V156">IFERROR(INDEX('Portfolio 3_2'!$O$3:$AK$101,'Portfolio 3_2'!$AO53,19),"")</f>
        <v/>
      </c>
      <c r="W156" s="1" t="str">
        <f t="shared" si="9"/>
        <v/>
      </c>
    </row>
    <row r="157" spans="1:23">
      <c r="A157" s="92" t="str">
        <f t="shared" si="10"/>
        <v/>
      </c>
      <c r="B157" s="82" t="str" cm="1">
        <f t="array" ref="B157">IFERROR(INDEX('Portfolio 3_2'!$O$3:$AK$101,'Portfolio 3_2'!$AO54,2),"")</f>
        <v/>
      </c>
      <c r="C157" s="1" t="str">
        <f t="shared" si="7"/>
        <v/>
      </c>
      <c r="D157" s="1" t="str">
        <f t="shared" si="8"/>
        <v/>
      </c>
      <c r="E157" s="82" t="str" cm="1">
        <f t="array" ref="E157">IFERROR(INDEX('Portfolio 3_2'!$O$3:$AK$101,'Portfolio 3_2'!$AO54,3),"")</f>
        <v/>
      </c>
      <c r="F157" s="82" t="str" cm="1">
        <f t="array" ref="F157">IFERROR(INDEX('Portfolio 3_2'!$O$3:$AK$101,'Portfolio 3_2'!$AO54,4),"")</f>
        <v/>
      </c>
      <c r="G157" s="82" t="str" cm="1">
        <f t="array" ref="G157">IFERROR(INDEX('Portfolio 3_2'!$O$3:$AK$101,'Portfolio 3_2'!$AO54,5),"")</f>
        <v/>
      </c>
      <c r="H157" s="82" t="str" cm="1">
        <f t="array" ref="H157">IFERROR(INDEX('Portfolio 3_2'!$O$3:$AK$101,'Portfolio 3_2'!$AO54,6),"")</f>
        <v/>
      </c>
      <c r="I157" s="82" t="str" cm="1">
        <f t="array" ref="I157">IFERROR(INDEX('Portfolio 3_2'!$O$3:$AK$101,'Portfolio 3_2'!$AO54,7),"")</f>
        <v/>
      </c>
      <c r="J157" s="82" t="str" cm="1">
        <f t="array" ref="J157">IFERROR(INDEX('Portfolio 3_2'!$O$3:$AK$101,'Portfolio 3_2'!$AO54,8),"")</f>
        <v/>
      </c>
      <c r="K157" s="82" t="str" cm="1">
        <f t="array" ref="K157">IFERROR(INDEX('Portfolio 3_2'!$O$3:$AK$101,'Portfolio 3_2'!$AO54,9),"")</f>
        <v/>
      </c>
      <c r="L157" s="82" t="str" cm="1">
        <f t="array" ref="L157">IFERROR(INDEX('Portfolio 3_2'!$O$3:$AK$101,'Portfolio 3_2'!$AO54,12),"")</f>
        <v/>
      </c>
      <c r="M157" s="82" t="str" cm="1">
        <f t="array" ref="M157">IFERROR(INDEX('Portfolio 3_2'!$O$3:$AK$101,'Portfolio 3_2'!$AO54,10),"")</f>
        <v/>
      </c>
      <c r="N157" s="82" t="str" cm="1">
        <f t="array" ref="N157">IFERROR(INDEX('Portfolio 3_2'!$O$3:$AK$101,'Portfolio 3_2'!$AO54,11),"")</f>
        <v/>
      </c>
      <c r="O157" s="82" t="str" cm="1">
        <f t="array" ref="O157">IFERROR(INDEX('Portfolio 3_2'!$O$3:$AK$101,'Portfolio 3_2'!$AO54,13),"")</f>
        <v/>
      </c>
      <c r="P157" s="82" t="str" cm="1">
        <f t="array" ref="P157">IFERROR(IF(ISNUMBER(FIND("กรุงเทพ",INDEX('Portfolio 3_2'!$O$3:$AK$101,'Portfolio 3_2'!$AO55,14))),"กรุงเทพมหานคร",INDEX('Portfolio 3_2'!$O$3:$AK$101,'Portfolio 3_2'!$AO54,14)),"")</f>
        <v/>
      </c>
      <c r="Q157" s="82" t="str" cm="1">
        <f t="array" ref="Q157">IFERROR(INDEX('Portfolio 3_2'!$O$3:$AK$101,'Portfolio 3_2'!$AO54,15),"")</f>
        <v/>
      </c>
      <c r="R157" s="82" t="str" cm="1">
        <f t="array" ref="R157">IFERROR(TEXT(INDEX('Portfolio 3_2'!$O$3:$AK$101,'Portfolio 3_2'!$AO54,16),"dd/mm/yyyy"),"")</f>
        <v/>
      </c>
      <c r="S157" s="82" t="str" cm="1">
        <f t="array" ref="S157">IFERROR(INDEX('Portfolio 3_2'!$O$3:$AK$101,'Portfolio 3_2'!$AO54,20),"")</f>
        <v/>
      </c>
      <c r="T157" s="82" t="str" cm="1">
        <f t="array" ref="T157">IFERROR(INDEX('Portfolio 3_2'!$O$3:$AK$101,'Portfolio 3_2'!$AO54,17),"")</f>
        <v/>
      </c>
      <c r="U157" s="82" t="str" cm="1">
        <f t="array" ref="U157">IFERROR(INDEX('Portfolio 3_2'!$O$3:$AK$101,'Portfolio 3_2'!$AO54,18),"")</f>
        <v/>
      </c>
      <c r="V157" s="82" t="str" cm="1">
        <f t="array" ref="V157">IFERROR(INDEX('Portfolio 3_2'!$O$3:$AK$101,'Portfolio 3_2'!$AO54,19),"")</f>
        <v/>
      </c>
      <c r="W157" s="1" t="str">
        <f t="shared" si="9"/>
        <v/>
      </c>
    </row>
    <row r="158" spans="1:23">
      <c r="A158" s="92" t="str">
        <f t="shared" si="10"/>
        <v/>
      </c>
      <c r="B158" s="82" t="str" cm="1">
        <f t="array" ref="B158">IFERROR(INDEX('Portfolio 3_2'!$O$3:$AK$101,'Portfolio 3_2'!$AO55,2),"")</f>
        <v/>
      </c>
      <c r="C158" s="1" t="str">
        <f t="shared" si="7"/>
        <v/>
      </c>
      <c r="D158" s="1" t="str">
        <f t="shared" si="8"/>
        <v/>
      </c>
      <c r="E158" s="82" t="str" cm="1">
        <f t="array" ref="E158">IFERROR(INDEX('Portfolio 3_2'!$O$3:$AK$101,'Portfolio 3_2'!$AO55,3),"")</f>
        <v/>
      </c>
      <c r="F158" s="82" t="str" cm="1">
        <f t="array" ref="F158">IFERROR(INDEX('Portfolio 3_2'!$O$3:$AK$101,'Portfolio 3_2'!$AO55,4),"")</f>
        <v/>
      </c>
      <c r="G158" s="82" t="str" cm="1">
        <f t="array" ref="G158">IFERROR(INDEX('Portfolio 3_2'!$O$3:$AK$101,'Portfolio 3_2'!$AO55,5),"")</f>
        <v/>
      </c>
      <c r="H158" s="82" t="str" cm="1">
        <f t="array" ref="H158">IFERROR(INDEX('Portfolio 3_2'!$O$3:$AK$101,'Portfolio 3_2'!$AO55,6),"")</f>
        <v/>
      </c>
      <c r="I158" s="82" t="str" cm="1">
        <f t="array" ref="I158">IFERROR(INDEX('Portfolio 3_2'!$O$3:$AK$101,'Portfolio 3_2'!$AO55,7),"")</f>
        <v/>
      </c>
      <c r="J158" s="82" t="str" cm="1">
        <f t="array" ref="J158">IFERROR(INDEX('Portfolio 3_2'!$O$3:$AK$101,'Portfolio 3_2'!$AO55,8),"")</f>
        <v/>
      </c>
      <c r="K158" s="82" t="str" cm="1">
        <f t="array" ref="K158">IFERROR(INDEX('Portfolio 3_2'!$O$3:$AK$101,'Portfolio 3_2'!$AO55,9),"")</f>
        <v/>
      </c>
      <c r="L158" s="82" t="str" cm="1">
        <f t="array" ref="L158">IFERROR(INDEX('Portfolio 3_2'!$O$3:$AK$101,'Portfolio 3_2'!$AO55,12),"")</f>
        <v/>
      </c>
      <c r="M158" s="82" t="str" cm="1">
        <f t="array" ref="M158">IFERROR(INDEX('Portfolio 3_2'!$O$3:$AK$101,'Portfolio 3_2'!$AO55,10),"")</f>
        <v/>
      </c>
      <c r="N158" s="82" t="str" cm="1">
        <f t="array" ref="N158">IFERROR(INDEX('Portfolio 3_2'!$O$3:$AK$101,'Portfolio 3_2'!$AO55,11),"")</f>
        <v/>
      </c>
      <c r="O158" s="82" t="str" cm="1">
        <f t="array" ref="O158">IFERROR(INDEX('Portfolio 3_2'!$O$3:$AK$101,'Portfolio 3_2'!$AO55,13),"")</f>
        <v/>
      </c>
      <c r="P158" s="82" t="str" cm="1">
        <f t="array" ref="P158">IFERROR(IF(ISNUMBER(FIND("กรุงเทพ",INDEX('Portfolio 3_2'!$O$3:$AK$101,'Portfolio 3_2'!$AO56,14))),"กรุงเทพมหานคร",INDEX('Portfolio 3_2'!$O$3:$AK$101,'Portfolio 3_2'!$AO55,14)),"")</f>
        <v/>
      </c>
      <c r="Q158" s="82" t="str" cm="1">
        <f t="array" ref="Q158">IFERROR(INDEX('Portfolio 3_2'!$O$3:$AK$101,'Portfolio 3_2'!$AO55,15),"")</f>
        <v/>
      </c>
      <c r="R158" s="82" t="str" cm="1">
        <f t="array" ref="R158">IFERROR(TEXT(INDEX('Portfolio 3_2'!$O$3:$AK$101,'Portfolio 3_2'!$AO55,16),"dd/mm/yyyy"),"")</f>
        <v/>
      </c>
      <c r="S158" s="82" t="str" cm="1">
        <f t="array" ref="S158">IFERROR(INDEX('Portfolio 3_2'!$O$3:$AK$101,'Portfolio 3_2'!$AO55,20),"")</f>
        <v/>
      </c>
      <c r="T158" s="82" t="str" cm="1">
        <f t="array" ref="T158">IFERROR(INDEX('Portfolio 3_2'!$O$3:$AK$101,'Portfolio 3_2'!$AO55,17),"")</f>
        <v/>
      </c>
      <c r="U158" s="82" t="str" cm="1">
        <f t="array" ref="U158">IFERROR(INDEX('Portfolio 3_2'!$O$3:$AK$101,'Portfolio 3_2'!$AO55,18),"")</f>
        <v/>
      </c>
      <c r="V158" s="82" t="str" cm="1">
        <f t="array" ref="V158">IFERROR(INDEX('Portfolio 3_2'!$O$3:$AK$101,'Portfolio 3_2'!$AO55,19),"")</f>
        <v/>
      </c>
      <c r="W158" s="1" t="str">
        <f t="shared" si="9"/>
        <v/>
      </c>
    </row>
    <row r="159" spans="1:23">
      <c r="A159" s="92" t="str">
        <f t="shared" si="10"/>
        <v/>
      </c>
      <c r="B159" s="82" t="str" cm="1">
        <f t="array" ref="B159">IFERROR(INDEX('Portfolio 3_2'!$O$3:$AK$101,'Portfolio 3_2'!$AO56,2),"")</f>
        <v/>
      </c>
      <c r="C159" s="1" t="str">
        <f t="shared" si="7"/>
        <v/>
      </c>
      <c r="D159" s="1" t="str">
        <f t="shared" si="8"/>
        <v/>
      </c>
      <c r="E159" s="82" t="str" cm="1">
        <f t="array" ref="E159">IFERROR(INDEX('Portfolio 3_2'!$O$3:$AK$101,'Portfolio 3_2'!$AO56,3),"")</f>
        <v/>
      </c>
      <c r="F159" s="82" t="str" cm="1">
        <f t="array" ref="F159">IFERROR(INDEX('Portfolio 3_2'!$O$3:$AK$101,'Portfolio 3_2'!$AO56,4),"")</f>
        <v/>
      </c>
      <c r="G159" s="82" t="str" cm="1">
        <f t="array" ref="G159">IFERROR(INDEX('Portfolio 3_2'!$O$3:$AK$101,'Portfolio 3_2'!$AO56,5),"")</f>
        <v/>
      </c>
      <c r="H159" s="82" t="str" cm="1">
        <f t="array" ref="H159">IFERROR(INDEX('Portfolio 3_2'!$O$3:$AK$101,'Portfolio 3_2'!$AO56,6),"")</f>
        <v/>
      </c>
      <c r="I159" s="82" t="str" cm="1">
        <f t="array" ref="I159">IFERROR(INDEX('Portfolio 3_2'!$O$3:$AK$101,'Portfolio 3_2'!$AO56,7),"")</f>
        <v/>
      </c>
      <c r="J159" s="82" t="str" cm="1">
        <f t="array" ref="J159">IFERROR(INDEX('Portfolio 3_2'!$O$3:$AK$101,'Portfolio 3_2'!$AO56,8),"")</f>
        <v/>
      </c>
      <c r="K159" s="82" t="str" cm="1">
        <f t="array" ref="K159">IFERROR(INDEX('Portfolio 3_2'!$O$3:$AK$101,'Portfolio 3_2'!$AO56,9),"")</f>
        <v/>
      </c>
      <c r="L159" s="82" t="str" cm="1">
        <f t="array" ref="L159">IFERROR(INDEX('Portfolio 3_2'!$O$3:$AK$101,'Portfolio 3_2'!$AO56,12),"")</f>
        <v/>
      </c>
      <c r="M159" s="82" t="str" cm="1">
        <f t="array" ref="M159">IFERROR(INDEX('Portfolio 3_2'!$O$3:$AK$101,'Portfolio 3_2'!$AO56,10),"")</f>
        <v/>
      </c>
      <c r="N159" s="82" t="str" cm="1">
        <f t="array" ref="N159">IFERROR(INDEX('Portfolio 3_2'!$O$3:$AK$101,'Portfolio 3_2'!$AO56,11),"")</f>
        <v/>
      </c>
      <c r="O159" s="82" t="str" cm="1">
        <f t="array" ref="O159">IFERROR(INDEX('Portfolio 3_2'!$O$3:$AK$101,'Portfolio 3_2'!$AO56,13),"")</f>
        <v/>
      </c>
      <c r="P159" s="82" t="str" cm="1">
        <f t="array" ref="P159">IFERROR(IF(ISNUMBER(FIND("กรุงเทพ",INDEX('Portfolio 3_2'!$O$3:$AK$101,'Portfolio 3_2'!$AO57,14))),"กรุงเทพมหานคร",INDEX('Portfolio 3_2'!$O$3:$AK$101,'Portfolio 3_2'!$AO56,14)),"")</f>
        <v/>
      </c>
      <c r="Q159" s="82" t="str" cm="1">
        <f t="array" ref="Q159">IFERROR(INDEX('Portfolio 3_2'!$O$3:$AK$101,'Portfolio 3_2'!$AO56,15),"")</f>
        <v/>
      </c>
      <c r="R159" s="82" t="str" cm="1">
        <f t="array" ref="R159">IFERROR(TEXT(INDEX('Portfolio 3_2'!$O$3:$AK$101,'Portfolio 3_2'!$AO56,16),"dd/mm/yyyy"),"")</f>
        <v/>
      </c>
      <c r="S159" s="82" t="str" cm="1">
        <f t="array" ref="S159">IFERROR(INDEX('Portfolio 3_2'!$O$3:$AK$101,'Portfolio 3_2'!$AO56,20),"")</f>
        <v/>
      </c>
      <c r="T159" s="82" t="str" cm="1">
        <f t="array" ref="T159">IFERROR(INDEX('Portfolio 3_2'!$O$3:$AK$101,'Portfolio 3_2'!$AO56,17),"")</f>
        <v/>
      </c>
      <c r="U159" s="82" t="str" cm="1">
        <f t="array" ref="U159">IFERROR(INDEX('Portfolio 3_2'!$O$3:$AK$101,'Portfolio 3_2'!$AO56,18),"")</f>
        <v/>
      </c>
      <c r="V159" s="82" t="str" cm="1">
        <f t="array" ref="V159">IFERROR(INDEX('Portfolio 3_2'!$O$3:$AK$101,'Portfolio 3_2'!$AO56,19),"")</f>
        <v/>
      </c>
      <c r="W159" s="1" t="str">
        <f t="shared" si="9"/>
        <v/>
      </c>
    </row>
    <row r="160" spans="1:23">
      <c r="A160" s="92" t="str">
        <f t="shared" si="10"/>
        <v/>
      </c>
      <c r="B160" s="82" t="str" cm="1">
        <f t="array" ref="B160">IFERROR(INDEX('Portfolio 3_2'!$O$3:$AK$101,'Portfolio 3_2'!$AO57,2),"")</f>
        <v/>
      </c>
      <c r="C160" s="1" t="str">
        <f t="shared" si="7"/>
        <v/>
      </c>
      <c r="D160" s="1" t="str">
        <f t="shared" si="8"/>
        <v/>
      </c>
      <c r="E160" s="82" t="str" cm="1">
        <f t="array" ref="E160">IFERROR(INDEX('Portfolio 3_2'!$O$3:$AK$101,'Portfolio 3_2'!$AO57,3),"")</f>
        <v/>
      </c>
      <c r="F160" s="82" t="str" cm="1">
        <f t="array" ref="F160">IFERROR(INDEX('Portfolio 3_2'!$O$3:$AK$101,'Portfolio 3_2'!$AO57,4),"")</f>
        <v/>
      </c>
      <c r="G160" s="82" t="str" cm="1">
        <f t="array" ref="G160">IFERROR(INDEX('Portfolio 3_2'!$O$3:$AK$101,'Portfolio 3_2'!$AO57,5),"")</f>
        <v/>
      </c>
      <c r="H160" s="82" t="str" cm="1">
        <f t="array" ref="H160">IFERROR(INDEX('Portfolio 3_2'!$O$3:$AK$101,'Portfolio 3_2'!$AO57,6),"")</f>
        <v/>
      </c>
      <c r="I160" s="82" t="str" cm="1">
        <f t="array" ref="I160">IFERROR(INDEX('Portfolio 3_2'!$O$3:$AK$101,'Portfolio 3_2'!$AO57,7),"")</f>
        <v/>
      </c>
      <c r="J160" s="82" t="str" cm="1">
        <f t="array" ref="J160">IFERROR(INDEX('Portfolio 3_2'!$O$3:$AK$101,'Portfolio 3_2'!$AO57,8),"")</f>
        <v/>
      </c>
      <c r="K160" s="82" t="str" cm="1">
        <f t="array" ref="K160">IFERROR(INDEX('Portfolio 3_2'!$O$3:$AK$101,'Portfolio 3_2'!$AO57,9),"")</f>
        <v/>
      </c>
      <c r="L160" s="82" t="str" cm="1">
        <f t="array" ref="L160">IFERROR(INDEX('Portfolio 3_2'!$O$3:$AK$101,'Portfolio 3_2'!$AO57,12),"")</f>
        <v/>
      </c>
      <c r="M160" s="82" t="str" cm="1">
        <f t="array" ref="M160">IFERROR(INDEX('Portfolio 3_2'!$O$3:$AK$101,'Portfolio 3_2'!$AO57,10),"")</f>
        <v/>
      </c>
      <c r="N160" s="82" t="str" cm="1">
        <f t="array" ref="N160">IFERROR(INDEX('Portfolio 3_2'!$O$3:$AK$101,'Portfolio 3_2'!$AO57,11),"")</f>
        <v/>
      </c>
      <c r="O160" s="82" t="str" cm="1">
        <f t="array" ref="O160">IFERROR(INDEX('Portfolio 3_2'!$O$3:$AK$101,'Portfolio 3_2'!$AO57,13),"")</f>
        <v/>
      </c>
      <c r="P160" s="82" t="str" cm="1">
        <f t="array" ref="P160">IFERROR(IF(ISNUMBER(FIND("กรุงเทพ",INDEX('Portfolio 3_2'!$O$3:$AK$101,'Portfolio 3_2'!$AO58,14))),"กรุงเทพมหานคร",INDEX('Portfolio 3_2'!$O$3:$AK$101,'Portfolio 3_2'!$AO57,14)),"")</f>
        <v/>
      </c>
      <c r="Q160" s="82" t="str" cm="1">
        <f t="array" ref="Q160">IFERROR(INDEX('Portfolio 3_2'!$O$3:$AK$101,'Portfolio 3_2'!$AO57,15),"")</f>
        <v/>
      </c>
      <c r="R160" s="82" t="str" cm="1">
        <f t="array" ref="R160">IFERROR(TEXT(INDEX('Portfolio 3_2'!$O$3:$AK$101,'Portfolio 3_2'!$AO57,16),"dd/mm/yyyy"),"")</f>
        <v/>
      </c>
      <c r="S160" s="82" t="str" cm="1">
        <f t="array" ref="S160">IFERROR(INDEX('Portfolio 3_2'!$O$3:$AK$101,'Portfolio 3_2'!$AO57,20),"")</f>
        <v/>
      </c>
      <c r="T160" s="82" t="str" cm="1">
        <f t="array" ref="T160">IFERROR(INDEX('Portfolio 3_2'!$O$3:$AK$101,'Portfolio 3_2'!$AO57,17),"")</f>
        <v/>
      </c>
      <c r="U160" s="82" t="str" cm="1">
        <f t="array" ref="U160">IFERROR(INDEX('Portfolio 3_2'!$O$3:$AK$101,'Portfolio 3_2'!$AO57,18),"")</f>
        <v/>
      </c>
      <c r="V160" s="82" t="str" cm="1">
        <f t="array" ref="V160">IFERROR(INDEX('Portfolio 3_2'!$O$3:$AK$101,'Portfolio 3_2'!$AO57,19),"")</f>
        <v/>
      </c>
      <c r="W160" s="1" t="str">
        <f t="shared" si="9"/>
        <v/>
      </c>
    </row>
    <row r="161" spans="1:23">
      <c r="A161" s="92" t="str">
        <f t="shared" si="10"/>
        <v/>
      </c>
      <c r="B161" s="82" t="str" cm="1">
        <f t="array" ref="B161">IFERROR(INDEX('Portfolio 3_2'!$O$3:$AK$101,'Portfolio 3_2'!$AO58,2),"")</f>
        <v/>
      </c>
      <c r="C161" s="1" t="str">
        <f t="shared" si="7"/>
        <v/>
      </c>
      <c r="D161" s="1" t="str">
        <f t="shared" si="8"/>
        <v/>
      </c>
      <c r="E161" s="82" t="str" cm="1">
        <f t="array" ref="E161">IFERROR(INDEX('Portfolio 3_2'!$O$3:$AK$101,'Portfolio 3_2'!$AO58,3),"")</f>
        <v/>
      </c>
      <c r="F161" s="82" t="str" cm="1">
        <f t="array" ref="F161">IFERROR(INDEX('Portfolio 3_2'!$O$3:$AK$101,'Portfolio 3_2'!$AO58,4),"")</f>
        <v/>
      </c>
      <c r="G161" s="82" t="str" cm="1">
        <f t="array" ref="G161">IFERROR(INDEX('Portfolio 3_2'!$O$3:$AK$101,'Portfolio 3_2'!$AO58,5),"")</f>
        <v/>
      </c>
      <c r="H161" s="82" t="str" cm="1">
        <f t="array" ref="H161">IFERROR(INDEX('Portfolio 3_2'!$O$3:$AK$101,'Portfolio 3_2'!$AO58,6),"")</f>
        <v/>
      </c>
      <c r="I161" s="82" t="str" cm="1">
        <f t="array" ref="I161">IFERROR(INDEX('Portfolio 3_2'!$O$3:$AK$101,'Portfolio 3_2'!$AO58,7),"")</f>
        <v/>
      </c>
      <c r="J161" s="82" t="str" cm="1">
        <f t="array" ref="J161">IFERROR(INDEX('Portfolio 3_2'!$O$3:$AK$101,'Portfolio 3_2'!$AO58,8),"")</f>
        <v/>
      </c>
      <c r="K161" s="82" t="str" cm="1">
        <f t="array" ref="K161">IFERROR(INDEX('Portfolio 3_2'!$O$3:$AK$101,'Portfolio 3_2'!$AO58,9),"")</f>
        <v/>
      </c>
      <c r="L161" s="82" t="str" cm="1">
        <f t="array" ref="L161">IFERROR(INDEX('Portfolio 3_2'!$O$3:$AK$101,'Portfolio 3_2'!$AO58,12),"")</f>
        <v/>
      </c>
      <c r="M161" s="82" t="str" cm="1">
        <f t="array" ref="M161">IFERROR(INDEX('Portfolio 3_2'!$O$3:$AK$101,'Portfolio 3_2'!$AO58,10),"")</f>
        <v/>
      </c>
      <c r="N161" s="82" t="str" cm="1">
        <f t="array" ref="N161">IFERROR(INDEX('Portfolio 3_2'!$O$3:$AK$101,'Portfolio 3_2'!$AO58,11),"")</f>
        <v/>
      </c>
      <c r="O161" s="82" t="str" cm="1">
        <f t="array" ref="O161">IFERROR(INDEX('Portfolio 3_2'!$O$3:$AK$101,'Portfolio 3_2'!$AO58,13),"")</f>
        <v/>
      </c>
      <c r="P161" s="82" t="str" cm="1">
        <f t="array" ref="P161">IFERROR(IF(ISNUMBER(FIND("กรุงเทพ",INDEX('Portfolio 3_2'!$O$3:$AK$101,'Portfolio 3_2'!$AO59,14))),"กรุงเทพมหานคร",INDEX('Portfolio 3_2'!$O$3:$AK$101,'Portfolio 3_2'!$AO58,14)),"")</f>
        <v/>
      </c>
      <c r="Q161" s="82" t="str" cm="1">
        <f t="array" ref="Q161">IFERROR(INDEX('Portfolio 3_2'!$O$3:$AK$101,'Portfolio 3_2'!$AO58,15),"")</f>
        <v/>
      </c>
      <c r="R161" s="82" t="str" cm="1">
        <f t="array" ref="R161">IFERROR(TEXT(INDEX('Portfolio 3_2'!$O$3:$AK$101,'Portfolio 3_2'!$AO58,16),"dd/mm/yyyy"),"")</f>
        <v/>
      </c>
      <c r="S161" s="82" t="str" cm="1">
        <f t="array" ref="S161">IFERROR(INDEX('Portfolio 3_2'!$O$3:$AK$101,'Portfolio 3_2'!$AO58,20),"")</f>
        <v/>
      </c>
      <c r="T161" s="82" t="str" cm="1">
        <f t="array" ref="T161">IFERROR(INDEX('Portfolio 3_2'!$O$3:$AK$101,'Portfolio 3_2'!$AO58,17),"")</f>
        <v/>
      </c>
      <c r="U161" s="82" t="str" cm="1">
        <f t="array" ref="U161">IFERROR(INDEX('Portfolio 3_2'!$O$3:$AK$101,'Portfolio 3_2'!$AO58,18),"")</f>
        <v/>
      </c>
      <c r="V161" s="82" t="str" cm="1">
        <f t="array" ref="V161">IFERROR(INDEX('Portfolio 3_2'!$O$3:$AK$101,'Portfolio 3_2'!$AO58,19),"")</f>
        <v/>
      </c>
      <c r="W161" s="1" t="str">
        <f t="shared" si="9"/>
        <v/>
      </c>
    </row>
    <row r="162" spans="1:23">
      <c r="A162" s="92" t="str">
        <f t="shared" si="10"/>
        <v/>
      </c>
      <c r="B162" s="82" t="str" cm="1">
        <f t="array" ref="B162">IFERROR(INDEX('Portfolio 3_2'!$O$3:$AK$101,'Portfolio 3_2'!$AO59,2),"")</f>
        <v/>
      </c>
      <c r="C162" s="1" t="str">
        <f t="shared" si="7"/>
        <v/>
      </c>
      <c r="D162" s="1" t="str">
        <f t="shared" si="8"/>
        <v/>
      </c>
      <c r="E162" s="82" t="str" cm="1">
        <f t="array" ref="E162">IFERROR(INDEX('Portfolio 3_2'!$O$3:$AK$101,'Portfolio 3_2'!$AO59,3),"")</f>
        <v/>
      </c>
      <c r="F162" s="82" t="str" cm="1">
        <f t="array" ref="F162">IFERROR(INDEX('Portfolio 3_2'!$O$3:$AK$101,'Portfolio 3_2'!$AO59,4),"")</f>
        <v/>
      </c>
      <c r="G162" s="82" t="str" cm="1">
        <f t="array" ref="G162">IFERROR(INDEX('Portfolio 3_2'!$O$3:$AK$101,'Portfolio 3_2'!$AO59,5),"")</f>
        <v/>
      </c>
      <c r="H162" s="82" t="str" cm="1">
        <f t="array" ref="H162">IFERROR(INDEX('Portfolio 3_2'!$O$3:$AK$101,'Portfolio 3_2'!$AO59,6),"")</f>
        <v/>
      </c>
      <c r="I162" s="82" t="str" cm="1">
        <f t="array" ref="I162">IFERROR(INDEX('Portfolio 3_2'!$O$3:$AK$101,'Portfolio 3_2'!$AO59,7),"")</f>
        <v/>
      </c>
      <c r="J162" s="82" t="str" cm="1">
        <f t="array" ref="J162">IFERROR(INDEX('Portfolio 3_2'!$O$3:$AK$101,'Portfolio 3_2'!$AO59,8),"")</f>
        <v/>
      </c>
      <c r="K162" s="82" t="str" cm="1">
        <f t="array" ref="K162">IFERROR(INDEX('Portfolio 3_2'!$O$3:$AK$101,'Portfolio 3_2'!$AO59,9),"")</f>
        <v/>
      </c>
      <c r="L162" s="82" t="str" cm="1">
        <f t="array" ref="L162">IFERROR(INDEX('Portfolio 3_2'!$O$3:$AK$101,'Portfolio 3_2'!$AO59,12),"")</f>
        <v/>
      </c>
      <c r="M162" s="82" t="str" cm="1">
        <f t="array" ref="M162">IFERROR(INDEX('Portfolio 3_2'!$O$3:$AK$101,'Portfolio 3_2'!$AO59,10),"")</f>
        <v/>
      </c>
      <c r="N162" s="82" t="str" cm="1">
        <f t="array" ref="N162">IFERROR(INDEX('Portfolio 3_2'!$O$3:$AK$101,'Portfolio 3_2'!$AO59,11),"")</f>
        <v/>
      </c>
      <c r="O162" s="82" t="str" cm="1">
        <f t="array" ref="O162">IFERROR(INDEX('Portfolio 3_2'!$O$3:$AK$101,'Portfolio 3_2'!$AO59,13),"")</f>
        <v/>
      </c>
      <c r="P162" s="82" t="str" cm="1">
        <f t="array" ref="P162">IFERROR(IF(ISNUMBER(FIND("กรุงเทพ",INDEX('Portfolio 3_2'!$O$3:$AK$101,'Portfolio 3_2'!$AO60,14))),"กรุงเทพมหานคร",INDEX('Portfolio 3_2'!$O$3:$AK$101,'Portfolio 3_2'!$AO59,14)),"")</f>
        <v/>
      </c>
      <c r="Q162" s="82" t="str" cm="1">
        <f t="array" ref="Q162">IFERROR(INDEX('Portfolio 3_2'!$O$3:$AK$101,'Portfolio 3_2'!$AO59,15),"")</f>
        <v/>
      </c>
      <c r="R162" s="82" t="str" cm="1">
        <f t="array" ref="R162">IFERROR(TEXT(INDEX('Portfolio 3_2'!$O$3:$AK$101,'Portfolio 3_2'!$AO59,16),"dd/mm/yyyy"),"")</f>
        <v/>
      </c>
      <c r="S162" s="82" t="str" cm="1">
        <f t="array" ref="S162">IFERROR(INDEX('Portfolio 3_2'!$O$3:$AK$101,'Portfolio 3_2'!$AO59,20),"")</f>
        <v/>
      </c>
      <c r="T162" s="82" t="str" cm="1">
        <f t="array" ref="T162">IFERROR(INDEX('Portfolio 3_2'!$O$3:$AK$101,'Portfolio 3_2'!$AO59,17),"")</f>
        <v/>
      </c>
      <c r="U162" s="82" t="str" cm="1">
        <f t="array" ref="U162">IFERROR(INDEX('Portfolio 3_2'!$O$3:$AK$101,'Portfolio 3_2'!$AO59,18),"")</f>
        <v/>
      </c>
      <c r="V162" s="82" t="str" cm="1">
        <f t="array" ref="V162">IFERROR(INDEX('Portfolio 3_2'!$O$3:$AK$101,'Portfolio 3_2'!$AO59,19),"")</f>
        <v/>
      </c>
      <c r="W162" s="1" t="str">
        <f t="shared" si="9"/>
        <v/>
      </c>
    </row>
    <row r="163" spans="1:23">
      <c r="A163" s="92" t="str">
        <f t="shared" si="10"/>
        <v/>
      </c>
      <c r="B163" s="82" t="str" cm="1">
        <f t="array" ref="B163">IFERROR(INDEX('Portfolio 3_2'!$O$3:$AK$101,'Portfolio 3_2'!$AO60,2),"")</f>
        <v/>
      </c>
      <c r="C163" s="1" t="str">
        <f t="shared" si="7"/>
        <v/>
      </c>
      <c r="D163" s="1" t="str">
        <f t="shared" si="8"/>
        <v/>
      </c>
      <c r="E163" s="82" t="str" cm="1">
        <f t="array" ref="E163">IFERROR(INDEX('Portfolio 3_2'!$O$3:$AK$101,'Portfolio 3_2'!$AO60,3),"")</f>
        <v/>
      </c>
      <c r="F163" s="82" t="str" cm="1">
        <f t="array" ref="F163">IFERROR(INDEX('Portfolio 3_2'!$O$3:$AK$101,'Portfolio 3_2'!$AO60,4),"")</f>
        <v/>
      </c>
      <c r="G163" s="82" t="str" cm="1">
        <f t="array" ref="G163">IFERROR(INDEX('Portfolio 3_2'!$O$3:$AK$101,'Portfolio 3_2'!$AO60,5),"")</f>
        <v/>
      </c>
      <c r="H163" s="82" t="str" cm="1">
        <f t="array" ref="H163">IFERROR(INDEX('Portfolio 3_2'!$O$3:$AK$101,'Portfolio 3_2'!$AO60,6),"")</f>
        <v/>
      </c>
      <c r="I163" s="82" t="str" cm="1">
        <f t="array" ref="I163">IFERROR(INDEX('Portfolio 3_2'!$O$3:$AK$101,'Portfolio 3_2'!$AO60,7),"")</f>
        <v/>
      </c>
      <c r="J163" s="82" t="str" cm="1">
        <f t="array" ref="J163">IFERROR(INDEX('Portfolio 3_2'!$O$3:$AK$101,'Portfolio 3_2'!$AO60,8),"")</f>
        <v/>
      </c>
      <c r="K163" s="82" t="str" cm="1">
        <f t="array" ref="K163">IFERROR(INDEX('Portfolio 3_2'!$O$3:$AK$101,'Portfolio 3_2'!$AO60,9),"")</f>
        <v/>
      </c>
      <c r="L163" s="82" t="str" cm="1">
        <f t="array" ref="L163">IFERROR(INDEX('Portfolio 3_2'!$O$3:$AK$101,'Portfolio 3_2'!$AO60,12),"")</f>
        <v/>
      </c>
      <c r="M163" s="82" t="str" cm="1">
        <f t="array" ref="M163">IFERROR(INDEX('Portfolio 3_2'!$O$3:$AK$101,'Portfolio 3_2'!$AO60,10),"")</f>
        <v/>
      </c>
      <c r="N163" s="82" t="str" cm="1">
        <f t="array" ref="N163">IFERROR(INDEX('Portfolio 3_2'!$O$3:$AK$101,'Portfolio 3_2'!$AO60,11),"")</f>
        <v/>
      </c>
      <c r="O163" s="82" t="str" cm="1">
        <f t="array" ref="O163">IFERROR(INDEX('Portfolio 3_2'!$O$3:$AK$101,'Portfolio 3_2'!$AO60,13),"")</f>
        <v/>
      </c>
      <c r="P163" s="82" t="str" cm="1">
        <f t="array" ref="P163">IFERROR(IF(ISNUMBER(FIND("กรุงเทพ",INDEX('Portfolio 3_2'!$O$3:$AK$101,'Portfolio 3_2'!$AO61,14))),"กรุงเทพมหานคร",INDEX('Portfolio 3_2'!$O$3:$AK$101,'Portfolio 3_2'!$AO60,14)),"")</f>
        <v/>
      </c>
      <c r="Q163" s="82" t="str" cm="1">
        <f t="array" ref="Q163">IFERROR(INDEX('Portfolio 3_2'!$O$3:$AK$101,'Portfolio 3_2'!$AO60,15),"")</f>
        <v/>
      </c>
      <c r="R163" s="82" t="str" cm="1">
        <f t="array" ref="R163">IFERROR(TEXT(INDEX('Portfolio 3_2'!$O$3:$AK$101,'Portfolio 3_2'!$AO60,16),"dd/mm/yyyy"),"")</f>
        <v/>
      </c>
      <c r="S163" s="82" t="str" cm="1">
        <f t="array" ref="S163">IFERROR(INDEX('Portfolio 3_2'!$O$3:$AK$101,'Portfolio 3_2'!$AO60,20),"")</f>
        <v/>
      </c>
      <c r="T163" s="82" t="str" cm="1">
        <f t="array" ref="T163">IFERROR(INDEX('Portfolio 3_2'!$O$3:$AK$101,'Portfolio 3_2'!$AO60,17),"")</f>
        <v/>
      </c>
      <c r="U163" s="82" t="str" cm="1">
        <f t="array" ref="U163">IFERROR(INDEX('Portfolio 3_2'!$O$3:$AK$101,'Portfolio 3_2'!$AO60,18),"")</f>
        <v/>
      </c>
      <c r="V163" s="82" t="str" cm="1">
        <f t="array" ref="V163">IFERROR(INDEX('Portfolio 3_2'!$O$3:$AK$101,'Portfolio 3_2'!$AO60,19),"")</f>
        <v/>
      </c>
      <c r="W163" s="1" t="str">
        <f t="shared" si="9"/>
        <v/>
      </c>
    </row>
    <row r="164" spans="1:23">
      <c r="A164" s="92" t="str">
        <f t="shared" si="10"/>
        <v/>
      </c>
      <c r="B164" s="82" t="str" cm="1">
        <f t="array" ref="B164">IFERROR(INDEX('Portfolio 3_2'!$O$3:$AK$101,'Portfolio 3_2'!$AO61,2),"")</f>
        <v/>
      </c>
      <c r="C164" s="1" t="str">
        <f t="shared" si="7"/>
        <v/>
      </c>
      <c r="D164" s="1" t="str">
        <f t="shared" si="8"/>
        <v/>
      </c>
      <c r="E164" s="82" t="str" cm="1">
        <f t="array" ref="E164">IFERROR(INDEX('Portfolio 3_2'!$O$3:$AK$101,'Portfolio 3_2'!$AO61,3),"")</f>
        <v/>
      </c>
      <c r="F164" s="82" t="str" cm="1">
        <f t="array" ref="F164">IFERROR(INDEX('Portfolio 3_2'!$O$3:$AK$101,'Portfolio 3_2'!$AO61,4),"")</f>
        <v/>
      </c>
      <c r="G164" s="82" t="str" cm="1">
        <f t="array" ref="G164">IFERROR(INDEX('Portfolio 3_2'!$O$3:$AK$101,'Portfolio 3_2'!$AO61,5),"")</f>
        <v/>
      </c>
      <c r="H164" s="82" t="str" cm="1">
        <f t="array" ref="H164">IFERROR(INDEX('Portfolio 3_2'!$O$3:$AK$101,'Portfolio 3_2'!$AO61,6),"")</f>
        <v/>
      </c>
      <c r="I164" s="82" t="str" cm="1">
        <f t="array" ref="I164">IFERROR(INDEX('Portfolio 3_2'!$O$3:$AK$101,'Portfolio 3_2'!$AO61,7),"")</f>
        <v/>
      </c>
      <c r="J164" s="82" t="str" cm="1">
        <f t="array" ref="J164">IFERROR(INDEX('Portfolio 3_2'!$O$3:$AK$101,'Portfolio 3_2'!$AO61,8),"")</f>
        <v/>
      </c>
      <c r="K164" s="82" t="str" cm="1">
        <f t="array" ref="K164">IFERROR(INDEX('Portfolio 3_2'!$O$3:$AK$101,'Portfolio 3_2'!$AO61,9),"")</f>
        <v/>
      </c>
      <c r="L164" s="82" t="str" cm="1">
        <f t="array" ref="L164">IFERROR(INDEX('Portfolio 3_2'!$O$3:$AK$101,'Portfolio 3_2'!$AO61,12),"")</f>
        <v/>
      </c>
      <c r="M164" s="82" t="str" cm="1">
        <f t="array" ref="M164">IFERROR(INDEX('Portfolio 3_2'!$O$3:$AK$101,'Portfolio 3_2'!$AO61,10),"")</f>
        <v/>
      </c>
      <c r="N164" s="82" t="str" cm="1">
        <f t="array" ref="N164">IFERROR(INDEX('Portfolio 3_2'!$O$3:$AK$101,'Portfolio 3_2'!$AO61,11),"")</f>
        <v/>
      </c>
      <c r="O164" s="82" t="str" cm="1">
        <f t="array" ref="O164">IFERROR(INDEX('Portfolio 3_2'!$O$3:$AK$101,'Portfolio 3_2'!$AO61,13),"")</f>
        <v/>
      </c>
      <c r="P164" s="82" t="str" cm="1">
        <f t="array" ref="P164">IFERROR(IF(ISNUMBER(FIND("กรุงเทพ",INDEX('Portfolio 3_2'!$O$3:$AK$101,'Portfolio 3_2'!$AO62,14))),"กรุงเทพมหานคร",INDEX('Portfolio 3_2'!$O$3:$AK$101,'Portfolio 3_2'!$AO61,14)),"")</f>
        <v/>
      </c>
      <c r="Q164" s="82" t="str" cm="1">
        <f t="array" ref="Q164">IFERROR(INDEX('Portfolio 3_2'!$O$3:$AK$101,'Portfolio 3_2'!$AO61,15),"")</f>
        <v/>
      </c>
      <c r="R164" s="82" t="str" cm="1">
        <f t="array" ref="R164">IFERROR(TEXT(INDEX('Portfolio 3_2'!$O$3:$AK$101,'Portfolio 3_2'!$AO61,16),"dd/mm/yyyy"),"")</f>
        <v/>
      </c>
      <c r="S164" s="82" t="str" cm="1">
        <f t="array" ref="S164">IFERROR(INDEX('Portfolio 3_2'!$O$3:$AK$101,'Portfolio 3_2'!$AO61,20),"")</f>
        <v/>
      </c>
      <c r="T164" s="82" t="str" cm="1">
        <f t="array" ref="T164">IFERROR(INDEX('Portfolio 3_2'!$O$3:$AK$101,'Portfolio 3_2'!$AO61,17),"")</f>
        <v/>
      </c>
      <c r="U164" s="82" t="str" cm="1">
        <f t="array" ref="U164">IFERROR(INDEX('Portfolio 3_2'!$O$3:$AK$101,'Portfolio 3_2'!$AO61,18),"")</f>
        <v/>
      </c>
      <c r="V164" s="82" t="str" cm="1">
        <f t="array" ref="V164">IFERROR(INDEX('Portfolio 3_2'!$O$3:$AK$101,'Portfolio 3_2'!$AO61,19),"")</f>
        <v/>
      </c>
      <c r="W164" s="1" t="str">
        <f t="shared" si="9"/>
        <v/>
      </c>
    </row>
    <row r="165" spans="1:23">
      <c r="A165" s="92" t="str">
        <f t="shared" si="10"/>
        <v/>
      </c>
      <c r="B165" s="82" t="str" cm="1">
        <f t="array" ref="B165">IFERROR(INDEX('Portfolio 3_2'!$O$3:$AK$101,'Portfolio 3_2'!$AO62,2),"")</f>
        <v/>
      </c>
      <c r="C165" s="1" t="str">
        <f t="shared" si="7"/>
        <v/>
      </c>
      <c r="D165" s="1" t="str">
        <f t="shared" si="8"/>
        <v/>
      </c>
      <c r="E165" s="82" t="str" cm="1">
        <f t="array" ref="E165">IFERROR(INDEX('Portfolio 3_2'!$O$3:$AK$101,'Portfolio 3_2'!$AO62,3),"")</f>
        <v/>
      </c>
      <c r="F165" s="82" t="str" cm="1">
        <f t="array" ref="F165">IFERROR(INDEX('Portfolio 3_2'!$O$3:$AK$101,'Portfolio 3_2'!$AO62,4),"")</f>
        <v/>
      </c>
      <c r="G165" s="82" t="str" cm="1">
        <f t="array" ref="G165">IFERROR(INDEX('Portfolio 3_2'!$O$3:$AK$101,'Portfolio 3_2'!$AO62,5),"")</f>
        <v/>
      </c>
      <c r="H165" s="82" t="str" cm="1">
        <f t="array" ref="H165">IFERROR(INDEX('Portfolio 3_2'!$O$3:$AK$101,'Portfolio 3_2'!$AO62,6),"")</f>
        <v/>
      </c>
      <c r="I165" s="82" t="str" cm="1">
        <f t="array" ref="I165">IFERROR(INDEX('Portfolio 3_2'!$O$3:$AK$101,'Portfolio 3_2'!$AO62,7),"")</f>
        <v/>
      </c>
      <c r="J165" s="82" t="str" cm="1">
        <f t="array" ref="J165">IFERROR(INDEX('Portfolio 3_2'!$O$3:$AK$101,'Portfolio 3_2'!$AO62,8),"")</f>
        <v/>
      </c>
      <c r="K165" s="82" t="str" cm="1">
        <f t="array" ref="K165">IFERROR(INDEX('Portfolio 3_2'!$O$3:$AK$101,'Portfolio 3_2'!$AO62,9),"")</f>
        <v/>
      </c>
      <c r="L165" s="82" t="str" cm="1">
        <f t="array" ref="L165">IFERROR(INDEX('Portfolio 3_2'!$O$3:$AK$101,'Portfolio 3_2'!$AO62,12),"")</f>
        <v/>
      </c>
      <c r="M165" s="82" t="str" cm="1">
        <f t="array" ref="M165">IFERROR(INDEX('Portfolio 3_2'!$O$3:$AK$101,'Portfolio 3_2'!$AO62,10),"")</f>
        <v/>
      </c>
      <c r="N165" s="82" t="str" cm="1">
        <f t="array" ref="N165">IFERROR(INDEX('Portfolio 3_2'!$O$3:$AK$101,'Portfolio 3_2'!$AO62,11),"")</f>
        <v/>
      </c>
      <c r="O165" s="82" t="str" cm="1">
        <f t="array" ref="O165">IFERROR(INDEX('Portfolio 3_2'!$O$3:$AK$101,'Portfolio 3_2'!$AO62,13),"")</f>
        <v/>
      </c>
      <c r="P165" s="82" t="str" cm="1">
        <f t="array" ref="P165">IFERROR(IF(ISNUMBER(FIND("กรุงเทพ",INDEX('Portfolio 3_2'!$O$3:$AK$101,'Portfolio 3_2'!$AO63,14))),"กรุงเทพมหานคร",INDEX('Portfolio 3_2'!$O$3:$AK$101,'Portfolio 3_2'!$AO62,14)),"")</f>
        <v/>
      </c>
      <c r="Q165" s="82" t="str" cm="1">
        <f t="array" ref="Q165">IFERROR(INDEX('Portfolio 3_2'!$O$3:$AK$101,'Portfolio 3_2'!$AO62,15),"")</f>
        <v/>
      </c>
      <c r="R165" s="82" t="str" cm="1">
        <f t="array" ref="R165">IFERROR(TEXT(INDEX('Portfolio 3_2'!$O$3:$AK$101,'Portfolio 3_2'!$AO62,16),"dd/mm/yyyy"),"")</f>
        <v/>
      </c>
      <c r="S165" s="82" t="str" cm="1">
        <f t="array" ref="S165">IFERROR(INDEX('Portfolio 3_2'!$O$3:$AK$101,'Portfolio 3_2'!$AO62,20),"")</f>
        <v/>
      </c>
      <c r="T165" s="82" t="str" cm="1">
        <f t="array" ref="T165">IFERROR(INDEX('Portfolio 3_2'!$O$3:$AK$101,'Portfolio 3_2'!$AO62,17),"")</f>
        <v/>
      </c>
      <c r="U165" s="82" t="str" cm="1">
        <f t="array" ref="U165">IFERROR(INDEX('Portfolio 3_2'!$O$3:$AK$101,'Portfolio 3_2'!$AO62,18),"")</f>
        <v/>
      </c>
      <c r="V165" s="82" t="str" cm="1">
        <f t="array" ref="V165">IFERROR(INDEX('Portfolio 3_2'!$O$3:$AK$101,'Portfolio 3_2'!$AO62,19),"")</f>
        <v/>
      </c>
      <c r="W165" s="1" t="str">
        <f t="shared" si="9"/>
        <v/>
      </c>
    </row>
    <row r="166" spans="1:23">
      <c r="A166" s="92" t="str">
        <f t="shared" si="10"/>
        <v/>
      </c>
      <c r="B166" s="82" t="str" cm="1">
        <f t="array" ref="B166">IFERROR(INDEX('Portfolio 3_2'!$O$3:$AK$101,'Portfolio 3_2'!$AO63,2),"")</f>
        <v/>
      </c>
      <c r="C166" s="1" t="str">
        <f t="shared" si="7"/>
        <v/>
      </c>
      <c r="D166" s="1" t="str">
        <f t="shared" si="8"/>
        <v/>
      </c>
      <c r="E166" s="82" t="str" cm="1">
        <f t="array" ref="E166">IFERROR(INDEX('Portfolio 3_2'!$O$3:$AK$101,'Portfolio 3_2'!$AO63,3),"")</f>
        <v/>
      </c>
      <c r="F166" s="82" t="str" cm="1">
        <f t="array" ref="F166">IFERROR(INDEX('Portfolio 3_2'!$O$3:$AK$101,'Portfolio 3_2'!$AO63,4),"")</f>
        <v/>
      </c>
      <c r="G166" s="82" t="str" cm="1">
        <f t="array" ref="G166">IFERROR(INDEX('Portfolio 3_2'!$O$3:$AK$101,'Portfolio 3_2'!$AO63,5),"")</f>
        <v/>
      </c>
      <c r="H166" s="82" t="str" cm="1">
        <f t="array" ref="H166">IFERROR(INDEX('Portfolio 3_2'!$O$3:$AK$101,'Portfolio 3_2'!$AO63,6),"")</f>
        <v/>
      </c>
      <c r="I166" s="82" t="str" cm="1">
        <f t="array" ref="I166">IFERROR(INDEX('Portfolio 3_2'!$O$3:$AK$101,'Portfolio 3_2'!$AO63,7),"")</f>
        <v/>
      </c>
      <c r="J166" s="82" t="str" cm="1">
        <f t="array" ref="J166">IFERROR(INDEX('Portfolio 3_2'!$O$3:$AK$101,'Portfolio 3_2'!$AO63,8),"")</f>
        <v/>
      </c>
      <c r="K166" s="82" t="str" cm="1">
        <f t="array" ref="K166">IFERROR(INDEX('Portfolio 3_2'!$O$3:$AK$101,'Portfolio 3_2'!$AO63,9),"")</f>
        <v/>
      </c>
      <c r="L166" s="82" t="str" cm="1">
        <f t="array" ref="L166">IFERROR(INDEX('Portfolio 3_2'!$O$3:$AK$101,'Portfolio 3_2'!$AO63,12),"")</f>
        <v/>
      </c>
      <c r="M166" s="82" t="str" cm="1">
        <f t="array" ref="M166">IFERROR(INDEX('Portfolio 3_2'!$O$3:$AK$101,'Portfolio 3_2'!$AO63,10),"")</f>
        <v/>
      </c>
      <c r="N166" s="82" t="str" cm="1">
        <f t="array" ref="N166">IFERROR(INDEX('Portfolio 3_2'!$O$3:$AK$101,'Portfolio 3_2'!$AO63,11),"")</f>
        <v/>
      </c>
      <c r="O166" s="82" t="str" cm="1">
        <f t="array" ref="O166">IFERROR(INDEX('Portfolio 3_2'!$O$3:$AK$101,'Portfolio 3_2'!$AO63,13),"")</f>
        <v/>
      </c>
      <c r="P166" s="82" t="str" cm="1">
        <f t="array" ref="P166">IFERROR(IF(ISNUMBER(FIND("กรุงเทพ",INDEX('Portfolio 3_2'!$O$3:$AK$101,'Portfolio 3_2'!$AO64,14))),"กรุงเทพมหานคร",INDEX('Portfolio 3_2'!$O$3:$AK$101,'Portfolio 3_2'!$AO63,14)),"")</f>
        <v/>
      </c>
      <c r="Q166" s="82" t="str" cm="1">
        <f t="array" ref="Q166">IFERROR(INDEX('Portfolio 3_2'!$O$3:$AK$101,'Portfolio 3_2'!$AO63,15),"")</f>
        <v/>
      </c>
      <c r="R166" s="82" t="str" cm="1">
        <f t="array" ref="R166">IFERROR(TEXT(INDEX('Portfolio 3_2'!$O$3:$AK$101,'Portfolio 3_2'!$AO63,16),"dd/mm/yyyy"),"")</f>
        <v/>
      </c>
      <c r="S166" s="82" t="str" cm="1">
        <f t="array" ref="S166">IFERROR(INDEX('Portfolio 3_2'!$O$3:$AK$101,'Portfolio 3_2'!$AO63,20),"")</f>
        <v/>
      </c>
      <c r="T166" s="82" t="str" cm="1">
        <f t="array" ref="T166">IFERROR(INDEX('Portfolio 3_2'!$O$3:$AK$101,'Portfolio 3_2'!$AO63,17),"")</f>
        <v/>
      </c>
      <c r="U166" s="82" t="str" cm="1">
        <f t="array" ref="U166">IFERROR(INDEX('Portfolio 3_2'!$O$3:$AK$101,'Portfolio 3_2'!$AO63,18),"")</f>
        <v/>
      </c>
      <c r="V166" s="82" t="str" cm="1">
        <f t="array" ref="V166">IFERROR(INDEX('Portfolio 3_2'!$O$3:$AK$101,'Portfolio 3_2'!$AO63,19),"")</f>
        <v/>
      </c>
      <c r="W166" s="1" t="str">
        <f t="shared" si="9"/>
        <v/>
      </c>
    </row>
    <row r="167" spans="1:23">
      <c r="A167" s="92" t="str">
        <f t="shared" si="10"/>
        <v/>
      </c>
      <c r="B167" s="82" t="str" cm="1">
        <f t="array" ref="B167">IFERROR(INDEX('Portfolio 3_2'!$O$3:$AK$101,'Portfolio 3_2'!$AO64,2),"")</f>
        <v/>
      </c>
      <c r="C167" s="1" t="str">
        <f t="shared" si="7"/>
        <v/>
      </c>
      <c r="D167" s="1" t="str">
        <f t="shared" si="8"/>
        <v/>
      </c>
      <c r="E167" s="82" t="str" cm="1">
        <f t="array" ref="E167">IFERROR(INDEX('Portfolio 3_2'!$O$3:$AK$101,'Portfolio 3_2'!$AO64,3),"")</f>
        <v/>
      </c>
      <c r="F167" s="82" t="str" cm="1">
        <f t="array" ref="F167">IFERROR(INDEX('Portfolio 3_2'!$O$3:$AK$101,'Portfolio 3_2'!$AO64,4),"")</f>
        <v/>
      </c>
      <c r="G167" s="82" t="str" cm="1">
        <f t="array" ref="G167">IFERROR(INDEX('Portfolio 3_2'!$O$3:$AK$101,'Portfolio 3_2'!$AO64,5),"")</f>
        <v/>
      </c>
      <c r="H167" s="82" t="str" cm="1">
        <f t="array" ref="H167">IFERROR(INDEX('Portfolio 3_2'!$O$3:$AK$101,'Portfolio 3_2'!$AO64,6),"")</f>
        <v/>
      </c>
      <c r="I167" s="82" t="str" cm="1">
        <f t="array" ref="I167">IFERROR(INDEX('Portfolio 3_2'!$O$3:$AK$101,'Portfolio 3_2'!$AO64,7),"")</f>
        <v/>
      </c>
      <c r="J167" s="82" t="str" cm="1">
        <f t="array" ref="J167">IFERROR(INDEX('Portfolio 3_2'!$O$3:$AK$101,'Portfolio 3_2'!$AO64,8),"")</f>
        <v/>
      </c>
      <c r="K167" s="82" t="str" cm="1">
        <f t="array" ref="K167">IFERROR(INDEX('Portfolio 3_2'!$O$3:$AK$101,'Portfolio 3_2'!$AO64,9),"")</f>
        <v/>
      </c>
      <c r="L167" s="82" t="str" cm="1">
        <f t="array" ref="L167">IFERROR(INDEX('Portfolio 3_2'!$O$3:$AK$101,'Portfolio 3_2'!$AO64,12),"")</f>
        <v/>
      </c>
      <c r="M167" s="82" t="str" cm="1">
        <f t="array" ref="M167">IFERROR(INDEX('Portfolio 3_2'!$O$3:$AK$101,'Portfolio 3_2'!$AO64,10),"")</f>
        <v/>
      </c>
      <c r="N167" s="82" t="str" cm="1">
        <f t="array" ref="N167">IFERROR(INDEX('Portfolio 3_2'!$O$3:$AK$101,'Portfolio 3_2'!$AO64,11),"")</f>
        <v/>
      </c>
      <c r="O167" s="82" t="str" cm="1">
        <f t="array" ref="O167">IFERROR(INDEX('Portfolio 3_2'!$O$3:$AK$101,'Portfolio 3_2'!$AO64,13),"")</f>
        <v/>
      </c>
      <c r="P167" s="82" t="str" cm="1">
        <f t="array" ref="P167">IFERROR(IF(ISNUMBER(FIND("กรุงเทพ",INDEX('Portfolio 3_2'!$O$3:$AK$101,'Portfolio 3_2'!$AO65,14))),"กรุงเทพมหานคร",INDEX('Portfolio 3_2'!$O$3:$AK$101,'Portfolio 3_2'!$AO64,14)),"")</f>
        <v/>
      </c>
      <c r="Q167" s="82" t="str" cm="1">
        <f t="array" ref="Q167">IFERROR(INDEX('Portfolio 3_2'!$O$3:$AK$101,'Portfolio 3_2'!$AO64,15),"")</f>
        <v/>
      </c>
      <c r="R167" s="82" t="str" cm="1">
        <f t="array" ref="R167">IFERROR(TEXT(INDEX('Portfolio 3_2'!$O$3:$AK$101,'Portfolio 3_2'!$AO64,16),"dd/mm/yyyy"),"")</f>
        <v/>
      </c>
      <c r="S167" s="82" t="str" cm="1">
        <f t="array" ref="S167">IFERROR(INDEX('Portfolio 3_2'!$O$3:$AK$101,'Portfolio 3_2'!$AO64,20),"")</f>
        <v/>
      </c>
      <c r="T167" s="82" t="str" cm="1">
        <f t="array" ref="T167">IFERROR(INDEX('Portfolio 3_2'!$O$3:$AK$101,'Portfolio 3_2'!$AO64,17),"")</f>
        <v/>
      </c>
      <c r="U167" s="82" t="str" cm="1">
        <f t="array" ref="U167">IFERROR(INDEX('Portfolio 3_2'!$O$3:$AK$101,'Portfolio 3_2'!$AO64,18),"")</f>
        <v/>
      </c>
      <c r="V167" s="82" t="str" cm="1">
        <f t="array" ref="V167">IFERROR(INDEX('Portfolio 3_2'!$O$3:$AK$101,'Portfolio 3_2'!$AO64,19),"")</f>
        <v/>
      </c>
      <c r="W167" s="1" t="str">
        <f t="shared" si="9"/>
        <v/>
      </c>
    </row>
    <row r="168" spans="1:23">
      <c r="A168" s="92" t="str">
        <f t="shared" si="10"/>
        <v/>
      </c>
      <c r="B168" s="82" t="str" cm="1">
        <f t="array" ref="B168">IFERROR(INDEX('Portfolio 3_2'!$O$3:$AK$101,'Portfolio 3_2'!$AO65,2),"")</f>
        <v/>
      </c>
      <c r="C168" s="1" t="str">
        <f t="shared" si="7"/>
        <v/>
      </c>
      <c r="D168" s="1" t="str">
        <f t="shared" si="8"/>
        <v/>
      </c>
      <c r="E168" s="82" t="str" cm="1">
        <f t="array" ref="E168">IFERROR(INDEX('Portfolio 3_2'!$O$3:$AK$101,'Portfolio 3_2'!$AO65,3),"")</f>
        <v/>
      </c>
      <c r="F168" s="82" t="str" cm="1">
        <f t="array" ref="F168">IFERROR(INDEX('Portfolio 3_2'!$O$3:$AK$101,'Portfolio 3_2'!$AO65,4),"")</f>
        <v/>
      </c>
      <c r="G168" s="82" t="str" cm="1">
        <f t="array" ref="G168">IFERROR(INDEX('Portfolio 3_2'!$O$3:$AK$101,'Portfolio 3_2'!$AO65,5),"")</f>
        <v/>
      </c>
      <c r="H168" s="82" t="str" cm="1">
        <f t="array" ref="H168">IFERROR(INDEX('Portfolio 3_2'!$O$3:$AK$101,'Portfolio 3_2'!$AO65,6),"")</f>
        <v/>
      </c>
      <c r="I168" s="82" t="str" cm="1">
        <f t="array" ref="I168">IFERROR(INDEX('Portfolio 3_2'!$O$3:$AK$101,'Portfolio 3_2'!$AO65,7),"")</f>
        <v/>
      </c>
      <c r="J168" s="82" t="str" cm="1">
        <f t="array" ref="J168">IFERROR(INDEX('Portfolio 3_2'!$O$3:$AK$101,'Portfolio 3_2'!$AO65,8),"")</f>
        <v/>
      </c>
      <c r="K168" s="82" t="str" cm="1">
        <f t="array" ref="K168">IFERROR(INDEX('Portfolio 3_2'!$O$3:$AK$101,'Portfolio 3_2'!$AO65,9),"")</f>
        <v/>
      </c>
      <c r="L168" s="82" t="str" cm="1">
        <f t="array" ref="L168">IFERROR(INDEX('Portfolio 3_2'!$O$3:$AK$101,'Portfolio 3_2'!$AO65,12),"")</f>
        <v/>
      </c>
      <c r="M168" s="82" t="str" cm="1">
        <f t="array" ref="M168">IFERROR(INDEX('Portfolio 3_2'!$O$3:$AK$101,'Portfolio 3_2'!$AO65,10),"")</f>
        <v/>
      </c>
      <c r="N168" s="82" t="str" cm="1">
        <f t="array" ref="N168">IFERROR(INDEX('Portfolio 3_2'!$O$3:$AK$101,'Portfolio 3_2'!$AO65,11),"")</f>
        <v/>
      </c>
      <c r="O168" s="82" t="str" cm="1">
        <f t="array" ref="O168">IFERROR(INDEX('Portfolio 3_2'!$O$3:$AK$101,'Portfolio 3_2'!$AO65,13),"")</f>
        <v/>
      </c>
      <c r="P168" s="82" t="str" cm="1">
        <f t="array" ref="P168">IFERROR(IF(ISNUMBER(FIND("กรุงเทพ",INDEX('Portfolio 3_2'!$O$3:$AK$101,'Portfolio 3_2'!$AO66,14))),"กรุงเทพมหานคร",INDEX('Portfolio 3_2'!$O$3:$AK$101,'Portfolio 3_2'!$AO65,14)),"")</f>
        <v/>
      </c>
      <c r="Q168" s="82" t="str" cm="1">
        <f t="array" ref="Q168">IFERROR(INDEX('Portfolio 3_2'!$O$3:$AK$101,'Portfolio 3_2'!$AO65,15),"")</f>
        <v/>
      </c>
      <c r="R168" s="82" t="str" cm="1">
        <f t="array" ref="R168">IFERROR(TEXT(INDEX('Portfolio 3_2'!$O$3:$AK$101,'Portfolio 3_2'!$AO65,16),"dd/mm/yyyy"),"")</f>
        <v/>
      </c>
      <c r="S168" s="82" t="str" cm="1">
        <f t="array" ref="S168">IFERROR(INDEX('Portfolio 3_2'!$O$3:$AK$101,'Portfolio 3_2'!$AO65,20),"")</f>
        <v/>
      </c>
      <c r="T168" s="82" t="str" cm="1">
        <f t="array" ref="T168">IFERROR(INDEX('Portfolio 3_2'!$O$3:$AK$101,'Portfolio 3_2'!$AO65,17),"")</f>
        <v/>
      </c>
      <c r="U168" s="82" t="str" cm="1">
        <f t="array" ref="U168">IFERROR(INDEX('Portfolio 3_2'!$O$3:$AK$101,'Portfolio 3_2'!$AO65,18),"")</f>
        <v/>
      </c>
      <c r="V168" s="82" t="str" cm="1">
        <f t="array" ref="V168">IFERROR(INDEX('Portfolio 3_2'!$O$3:$AK$101,'Portfolio 3_2'!$AO65,19),"")</f>
        <v/>
      </c>
      <c r="W168" s="1" t="str">
        <f t="shared" si="9"/>
        <v/>
      </c>
    </row>
    <row r="169" spans="1:23">
      <c r="A169" s="92" t="str">
        <f t="shared" si="10"/>
        <v/>
      </c>
      <c r="B169" s="82" t="str" cm="1">
        <f t="array" ref="B169">IFERROR(INDEX('Portfolio 3_2'!$O$3:$AK$101,'Portfolio 3_2'!$AO66,2),"")</f>
        <v/>
      </c>
      <c r="C169" s="1" t="str">
        <f t="shared" si="7"/>
        <v/>
      </c>
      <c r="D169" s="1" t="str">
        <f t="shared" si="8"/>
        <v/>
      </c>
      <c r="E169" s="82" t="str" cm="1">
        <f t="array" ref="E169">IFERROR(INDEX('Portfolio 3_2'!$O$3:$AK$101,'Portfolio 3_2'!$AO66,3),"")</f>
        <v/>
      </c>
      <c r="F169" s="82" t="str" cm="1">
        <f t="array" ref="F169">IFERROR(INDEX('Portfolio 3_2'!$O$3:$AK$101,'Portfolio 3_2'!$AO66,4),"")</f>
        <v/>
      </c>
      <c r="G169" s="82" t="str" cm="1">
        <f t="array" ref="G169">IFERROR(INDEX('Portfolio 3_2'!$O$3:$AK$101,'Portfolio 3_2'!$AO66,5),"")</f>
        <v/>
      </c>
      <c r="H169" s="82" t="str" cm="1">
        <f t="array" ref="H169">IFERROR(INDEX('Portfolio 3_2'!$O$3:$AK$101,'Portfolio 3_2'!$AO66,6),"")</f>
        <v/>
      </c>
      <c r="I169" s="82" t="str" cm="1">
        <f t="array" ref="I169">IFERROR(INDEX('Portfolio 3_2'!$O$3:$AK$101,'Portfolio 3_2'!$AO66,7),"")</f>
        <v/>
      </c>
      <c r="J169" s="82" t="str" cm="1">
        <f t="array" ref="J169">IFERROR(INDEX('Portfolio 3_2'!$O$3:$AK$101,'Portfolio 3_2'!$AO66,8),"")</f>
        <v/>
      </c>
      <c r="K169" s="82" t="str" cm="1">
        <f t="array" ref="K169">IFERROR(INDEX('Portfolio 3_2'!$O$3:$AK$101,'Portfolio 3_2'!$AO66,9),"")</f>
        <v/>
      </c>
      <c r="L169" s="82" t="str" cm="1">
        <f t="array" ref="L169">IFERROR(INDEX('Portfolio 3_2'!$O$3:$AK$101,'Portfolio 3_2'!$AO66,12),"")</f>
        <v/>
      </c>
      <c r="M169" s="82" t="str" cm="1">
        <f t="array" ref="M169">IFERROR(INDEX('Portfolio 3_2'!$O$3:$AK$101,'Portfolio 3_2'!$AO66,10),"")</f>
        <v/>
      </c>
      <c r="N169" s="82" t="str" cm="1">
        <f t="array" ref="N169">IFERROR(INDEX('Portfolio 3_2'!$O$3:$AK$101,'Portfolio 3_2'!$AO66,11),"")</f>
        <v/>
      </c>
      <c r="O169" s="82" t="str" cm="1">
        <f t="array" ref="O169">IFERROR(INDEX('Portfolio 3_2'!$O$3:$AK$101,'Portfolio 3_2'!$AO66,13),"")</f>
        <v/>
      </c>
      <c r="P169" s="82" t="str" cm="1">
        <f t="array" ref="P169">IFERROR(IF(ISNUMBER(FIND("กรุงเทพ",INDEX('Portfolio 3_2'!$O$3:$AK$101,'Portfolio 3_2'!$AO67,14))),"กรุงเทพมหานคร",INDEX('Portfolio 3_2'!$O$3:$AK$101,'Portfolio 3_2'!$AO66,14)),"")</f>
        <v/>
      </c>
      <c r="Q169" s="82" t="str" cm="1">
        <f t="array" ref="Q169">IFERROR(INDEX('Portfolio 3_2'!$O$3:$AK$101,'Portfolio 3_2'!$AO66,15),"")</f>
        <v/>
      </c>
      <c r="R169" s="82" t="str" cm="1">
        <f t="array" ref="R169">IFERROR(TEXT(INDEX('Portfolio 3_2'!$O$3:$AK$101,'Portfolio 3_2'!$AO66,16),"dd/mm/yyyy"),"")</f>
        <v/>
      </c>
      <c r="S169" s="82" t="str" cm="1">
        <f t="array" ref="S169">IFERROR(INDEX('Portfolio 3_2'!$O$3:$AK$101,'Portfolio 3_2'!$AO66,20),"")</f>
        <v/>
      </c>
      <c r="T169" s="82" t="str" cm="1">
        <f t="array" ref="T169">IFERROR(INDEX('Portfolio 3_2'!$O$3:$AK$101,'Portfolio 3_2'!$AO66,17),"")</f>
        <v/>
      </c>
      <c r="U169" s="82" t="str" cm="1">
        <f t="array" ref="U169">IFERROR(INDEX('Portfolio 3_2'!$O$3:$AK$101,'Portfolio 3_2'!$AO66,18),"")</f>
        <v/>
      </c>
      <c r="V169" s="82" t="str" cm="1">
        <f t="array" ref="V169">IFERROR(INDEX('Portfolio 3_2'!$O$3:$AK$101,'Portfolio 3_2'!$AO66,19),"")</f>
        <v/>
      </c>
      <c r="W169" s="1" t="str">
        <f t="shared" si="9"/>
        <v/>
      </c>
    </row>
    <row r="170" spans="1:23">
      <c r="A170" s="92" t="str">
        <f t="shared" si="10"/>
        <v/>
      </c>
      <c r="B170" s="82" t="str" cm="1">
        <f t="array" ref="B170">IFERROR(INDEX('Portfolio 3_2'!$O$3:$AK$101,'Portfolio 3_2'!$AO67,2),"")</f>
        <v/>
      </c>
      <c r="C170" s="1" t="str">
        <f t="shared" si="7"/>
        <v/>
      </c>
      <c r="D170" s="1" t="str">
        <f t="shared" si="8"/>
        <v/>
      </c>
      <c r="E170" s="82" t="str" cm="1">
        <f t="array" ref="E170">IFERROR(INDEX('Portfolio 3_2'!$O$3:$AK$101,'Portfolio 3_2'!$AO67,3),"")</f>
        <v/>
      </c>
      <c r="F170" s="82" t="str" cm="1">
        <f t="array" ref="F170">IFERROR(INDEX('Portfolio 3_2'!$O$3:$AK$101,'Portfolio 3_2'!$AO67,4),"")</f>
        <v/>
      </c>
      <c r="G170" s="82" t="str" cm="1">
        <f t="array" ref="G170">IFERROR(INDEX('Portfolio 3_2'!$O$3:$AK$101,'Portfolio 3_2'!$AO67,5),"")</f>
        <v/>
      </c>
      <c r="H170" s="82" t="str" cm="1">
        <f t="array" ref="H170">IFERROR(INDEX('Portfolio 3_2'!$O$3:$AK$101,'Portfolio 3_2'!$AO67,6),"")</f>
        <v/>
      </c>
      <c r="I170" s="82" t="str" cm="1">
        <f t="array" ref="I170">IFERROR(INDEX('Portfolio 3_2'!$O$3:$AK$101,'Portfolio 3_2'!$AO67,7),"")</f>
        <v/>
      </c>
      <c r="J170" s="82" t="str" cm="1">
        <f t="array" ref="J170">IFERROR(INDEX('Portfolio 3_2'!$O$3:$AK$101,'Portfolio 3_2'!$AO67,8),"")</f>
        <v/>
      </c>
      <c r="K170" s="82" t="str" cm="1">
        <f t="array" ref="K170">IFERROR(INDEX('Portfolio 3_2'!$O$3:$AK$101,'Portfolio 3_2'!$AO67,9),"")</f>
        <v/>
      </c>
      <c r="L170" s="82" t="str" cm="1">
        <f t="array" ref="L170">IFERROR(INDEX('Portfolio 3_2'!$O$3:$AK$101,'Portfolio 3_2'!$AO67,12),"")</f>
        <v/>
      </c>
      <c r="M170" s="82" t="str" cm="1">
        <f t="array" ref="M170">IFERROR(INDEX('Portfolio 3_2'!$O$3:$AK$101,'Portfolio 3_2'!$AO67,10),"")</f>
        <v/>
      </c>
      <c r="N170" s="82" t="str" cm="1">
        <f t="array" ref="N170">IFERROR(INDEX('Portfolio 3_2'!$O$3:$AK$101,'Portfolio 3_2'!$AO67,11),"")</f>
        <v/>
      </c>
      <c r="O170" s="82" t="str" cm="1">
        <f t="array" ref="O170">IFERROR(INDEX('Portfolio 3_2'!$O$3:$AK$101,'Portfolio 3_2'!$AO67,13),"")</f>
        <v/>
      </c>
      <c r="P170" s="82" t="str" cm="1">
        <f t="array" ref="P170">IFERROR(IF(ISNUMBER(FIND("กรุงเทพ",INDEX('Portfolio 3_2'!$O$3:$AK$101,'Portfolio 3_2'!$AO68,14))),"กรุงเทพมหานคร",INDEX('Portfolio 3_2'!$O$3:$AK$101,'Portfolio 3_2'!$AO67,14)),"")</f>
        <v/>
      </c>
      <c r="Q170" s="82" t="str" cm="1">
        <f t="array" ref="Q170">IFERROR(INDEX('Portfolio 3_2'!$O$3:$AK$101,'Portfolio 3_2'!$AO67,15),"")</f>
        <v/>
      </c>
      <c r="R170" s="82" t="str" cm="1">
        <f t="array" ref="R170">IFERROR(TEXT(INDEX('Portfolio 3_2'!$O$3:$AK$101,'Portfolio 3_2'!$AO67,16),"dd/mm/yyyy"),"")</f>
        <v/>
      </c>
      <c r="S170" s="82" t="str" cm="1">
        <f t="array" ref="S170">IFERROR(INDEX('Portfolio 3_2'!$O$3:$AK$101,'Portfolio 3_2'!$AO67,20),"")</f>
        <v/>
      </c>
      <c r="T170" s="82" t="str" cm="1">
        <f t="array" ref="T170">IFERROR(INDEX('Portfolio 3_2'!$O$3:$AK$101,'Portfolio 3_2'!$AO67,17),"")</f>
        <v/>
      </c>
      <c r="U170" s="82" t="str" cm="1">
        <f t="array" ref="U170">IFERROR(INDEX('Portfolio 3_2'!$O$3:$AK$101,'Portfolio 3_2'!$AO67,18),"")</f>
        <v/>
      </c>
      <c r="V170" s="82" t="str" cm="1">
        <f t="array" ref="V170">IFERROR(INDEX('Portfolio 3_2'!$O$3:$AK$101,'Portfolio 3_2'!$AO67,19),"")</f>
        <v/>
      </c>
      <c r="W170" s="1" t="str">
        <f t="shared" si="9"/>
        <v/>
      </c>
    </row>
    <row r="171" spans="1:23">
      <c r="A171" s="92" t="str">
        <f t="shared" ref="A171:A202" si="11">IF(B171="","",A170+1)</f>
        <v/>
      </c>
      <c r="B171" s="82" t="str" cm="1">
        <f t="array" ref="B171">IFERROR(INDEX('Portfolio 3_2'!$O$3:$AK$101,'Portfolio 3_2'!$AO68,2),"")</f>
        <v/>
      </c>
      <c r="C171" s="1" t="str">
        <f t="shared" ref="C171:C203" si="12">IFERROR(IF(B171&lt;&gt;"","00000",""),"")</f>
        <v/>
      </c>
      <c r="D171" s="1" t="str">
        <f t="shared" ref="D171:D203" si="13">IFERROR(IF(B171&lt;&gt;"",IF(ISNUMBER(FIND("partnership",LOWER(E171))),"หจก.","บจก."),""),"")</f>
        <v/>
      </c>
      <c r="E171" s="82" t="str" cm="1">
        <f t="array" ref="E171">IFERROR(INDEX('Portfolio 3_2'!$O$3:$AK$101,'Portfolio 3_2'!$AO68,3),"")</f>
        <v/>
      </c>
      <c r="F171" s="82" t="str" cm="1">
        <f t="array" ref="F171">IFERROR(INDEX('Portfolio 3_2'!$O$3:$AK$101,'Portfolio 3_2'!$AO68,4),"")</f>
        <v/>
      </c>
      <c r="G171" s="82" t="str" cm="1">
        <f t="array" ref="G171">IFERROR(INDEX('Portfolio 3_2'!$O$3:$AK$101,'Portfolio 3_2'!$AO68,5),"")</f>
        <v/>
      </c>
      <c r="H171" s="82" t="str" cm="1">
        <f t="array" ref="H171">IFERROR(INDEX('Portfolio 3_2'!$O$3:$AK$101,'Portfolio 3_2'!$AO68,6),"")</f>
        <v/>
      </c>
      <c r="I171" s="82" t="str" cm="1">
        <f t="array" ref="I171">IFERROR(INDEX('Portfolio 3_2'!$O$3:$AK$101,'Portfolio 3_2'!$AO68,7),"")</f>
        <v/>
      </c>
      <c r="J171" s="82" t="str" cm="1">
        <f t="array" ref="J171">IFERROR(INDEX('Portfolio 3_2'!$O$3:$AK$101,'Portfolio 3_2'!$AO68,8),"")</f>
        <v/>
      </c>
      <c r="K171" s="82" t="str" cm="1">
        <f t="array" ref="K171">IFERROR(INDEX('Portfolio 3_2'!$O$3:$AK$101,'Portfolio 3_2'!$AO68,9),"")</f>
        <v/>
      </c>
      <c r="L171" s="82" t="str" cm="1">
        <f t="array" ref="L171">IFERROR(INDEX('Portfolio 3_2'!$O$3:$AK$101,'Portfolio 3_2'!$AO68,12),"")</f>
        <v/>
      </c>
      <c r="M171" s="82" t="str" cm="1">
        <f t="array" ref="M171">IFERROR(INDEX('Portfolio 3_2'!$O$3:$AK$101,'Portfolio 3_2'!$AO68,10),"")</f>
        <v/>
      </c>
      <c r="N171" s="82" t="str" cm="1">
        <f t="array" ref="N171">IFERROR(INDEX('Portfolio 3_2'!$O$3:$AK$101,'Portfolio 3_2'!$AO68,11),"")</f>
        <v/>
      </c>
      <c r="O171" s="82" t="str" cm="1">
        <f t="array" ref="O171">IFERROR(INDEX('Portfolio 3_2'!$O$3:$AK$101,'Portfolio 3_2'!$AO68,13),"")</f>
        <v/>
      </c>
      <c r="P171" s="82" t="str" cm="1">
        <f t="array" ref="P171">IFERROR(IF(ISNUMBER(FIND("กรุงเทพ",INDEX('Portfolio 3_2'!$O$3:$AK$101,'Portfolio 3_2'!$AO69,14))),"กรุงเทพมหานคร",INDEX('Portfolio 3_2'!$O$3:$AK$101,'Portfolio 3_2'!$AO68,14)),"")</f>
        <v/>
      </c>
      <c r="Q171" s="82" t="str" cm="1">
        <f t="array" ref="Q171">IFERROR(INDEX('Portfolio 3_2'!$O$3:$AK$101,'Portfolio 3_2'!$AO68,15),"")</f>
        <v/>
      </c>
      <c r="R171" s="82" t="str" cm="1">
        <f t="array" ref="R171">IFERROR(TEXT(INDEX('Portfolio 3_2'!$O$3:$AK$101,'Portfolio 3_2'!$AO68,16),"dd/mm/yyyy"),"")</f>
        <v/>
      </c>
      <c r="S171" s="82" t="str" cm="1">
        <f t="array" ref="S171">IFERROR(INDEX('Portfolio 3_2'!$O$3:$AK$101,'Portfolio 3_2'!$AO68,20),"")</f>
        <v/>
      </c>
      <c r="T171" s="82" t="str" cm="1">
        <f t="array" ref="T171">IFERROR(INDEX('Portfolio 3_2'!$O$3:$AK$101,'Portfolio 3_2'!$AO68,17),"")</f>
        <v/>
      </c>
      <c r="U171" s="82" t="str" cm="1">
        <f t="array" ref="U171">IFERROR(INDEX('Portfolio 3_2'!$O$3:$AK$101,'Portfolio 3_2'!$AO68,18),"")</f>
        <v/>
      </c>
      <c r="V171" s="82" t="str" cm="1">
        <f t="array" ref="V171">IFERROR(INDEX('Portfolio 3_2'!$O$3:$AK$101,'Portfolio 3_2'!$AO68,19),"")</f>
        <v/>
      </c>
      <c r="W171" s="1" t="str">
        <f t="shared" ref="W171:W203" si="14">IFERROR(IF(B171&lt;&gt;"","1",""),"")</f>
        <v/>
      </c>
    </row>
    <row r="172" spans="1:23">
      <c r="A172" s="92" t="str">
        <f t="shared" si="11"/>
        <v/>
      </c>
      <c r="B172" s="82" t="str" cm="1">
        <f t="array" ref="B172">IFERROR(INDEX('Portfolio 3_2'!$O$3:$AK$101,'Portfolio 3_2'!$AO69,2),"")</f>
        <v/>
      </c>
      <c r="C172" s="1" t="str">
        <f t="shared" si="12"/>
        <v/>
      </c>
      <c r="D172" s="1" t="str">
        <f t="shared" si="13"/>
        <v/>
      </c>
      <c r="E172" s="82" t="str" cm="1">
        <f t="array" ref="E172">IFERROR(INDEX('Portfolio 3_2'!$O$3:$AK$101,'Portfolio 3_2'!$AO69,3),"")</f>
        <v/>
      </c>
      <c r="F172" s="82" t="str" cm="1">
        <f t="array" ref="F172">IFERROR(INDEX('Portfolio 3_2'!$O$3:$AK$101,'Portfolio 3_2'!$AO69,4),"")</f>
        <v/>
      </c>
      <c r="G172" s="82" t="str" cm="1">
        <f t="array" ref="G172">IFERROR(INDEX('Portfolio 3_2'!$O$3:$AK$101,'Portfolio 3_2'!$AO69,5),"")</f>
        <v/>
      </c>
      <c r="H172" s="82" t="str" cm="1">
        <f t="array" ref="H172">IFERROR(INDEX('Portfolio 3_2'!$O$3:$AK$101,'Portfolio 3_2'!$AO69,6),"")</f>
        <v/>
      </c>
      <c r="I172" s="82" t="str" cm="1">
        <f t="array" ref="I172">IFERROR(INDEX('Portfolio 3_2'!$O$3:$AK$101,'Portfolio 3_2'!$AO69,7),"")</f>
        <v/>
      </c>
      <c r="J172" s="82" t="str" cm="1">
        <f t="array" ref="J172">IFERROR(INDEX('Portfolio 3_2'!$O$3:$AK$101,'Portfolio 3_2'!$AO69,8),"")</f>
        <v/>
      </c>
      <c r="K172" s="82" t="str" cm="1">
        <f t="array" ref="K172">IFERROR(INDEX('Portfolio 3_2'!$O$3:$AK$101,'Portfolio 3_2'!$AO69,9),"")</f>
        <v/>
      </c>
      <c r="L172" s="82" t="str" cm="1">
        <f t="array" ref="L172">IFERROR(INDEX('Portfolio 3_2'!$O$3:$AK$101,'Portfolio 3_2'!$AO69,12),"")</f>
        <v/>
      </c>
      <c r="M172" s="82" t="str" cm="1">
        <f t="array" ref="M172">IFERROR(INDEX('Portfolio 3_2'!$O$3:$AK$101,'Portfolio 3_2'!$AO69,10),"")</f>
        <v/>
      </c>
      <c r="N172" s="82" t="str" cm="1">
        <f t="array" ref="N172">IFERROR(INDEX('Portfolio 3_2'!$O$3:$AK$101,'Portfolio 3_2'!$AO69,11),"")</f>
        <v/>
      </c>
      <c r="O172" s="82" t="str" cm="1">
        <f t="array" ref="O172">IFERROR(INDEX('Portfolio 3_2'!$O$3:$AK$101,'Portfolio 3_2'!$AO69,13),"")</f>
        <v/>
      </c>
      <c r="P172" s="82" t="str" cm="1">
        <f t="array" ref="P172">IFERROR(IF(ISNUMBER(FIND("กรุงเทพ",INDEX('Portfolio 3_2'!$O$3:$AK$101,'Portfolio 3_2'!$AO70,14))),"กรุงเทพมหานคร",INDEX('Portfolio 3_2'!$O$3:$AK$101,'Portfolio 3_2'!$AO69,14)),"")</f>
        <v/>
      </c>
      <c r="Q172" s="82" t="str" cm="1">
        <f t="array" ref="Q172">IFERROR(INDEX('Portfolio 3_2'!$O$3:$AK$101,'Portfolio 3_2'!$AO69,15),"")</f>
        <v/>
      </c>
      <c r="R172" s="82" t="str" cm="1">
        <f t="array" ref="R172">IFERROR(TEXT(INDEX('Portfolio 3_2'!$O$3:$AK$101,'Portfolio 3_2'!$AO69,16),"dd/mm/yyyy"),"")</f>
        <v/>
      </c>
      <c r="S172" s="82" t="str" cm="1">
        <f t="array" ref="S172">IFERROR(INDEX('Portfolio 3_2'!$O$3:$AK$101,'Portfolio 3_2'!$AO69,20),"")</f>
        <v/>
      </c>
      <c r="T172" s="82" t="str" cm="1">
        <f t="array" ref="T172">IFERROR(INDEX('Portfolio 3_2'!$O$3:$AK$101,'Portfolio 3_2'!$AO69,17),"")</f>
        <v/>
      </c>
      <c r="U172" s="82" t="str" cm="1">
        <f t="array" ref="U172">IFERROR(INDEX('Portfolio 3_2'!$O$3:$AK$101,'Portfolio 3_2'!$AO69,18),"")</f>
        <v/>
      </c>
      <c r="V172" s="82" t="str" cm="1">
        <f t="array" ref="V172">IFERROR(INDEX('Portfolio 3_2'!$O$3:$AK$101,'Portfolio 3_2'!$AO69,19),"")</f>
        <v/>
      </c>
      <c r="W172" s="1" t="str">
        <f t="shared" si="14"/>
        <v/>
      </c>
    </row>
    <row r="173" spans="1:23">
      <c r="A173" s="92" t="str">
        <f t="shared" si="11"/>
        <v/>
      </c>
      <c r="B173" s="82" t="str" cm="1">
        <f t="array" ref="B173">IFERROR(INDEX('Portfolio 3_2'!$O$3:$AK$101,'Portfolio 3_2'!$AO70,2),"")</f>
        <v/>
      </c>
      <c r="C173" s="1" t="str">
        <f t="shared" si="12"/>
        <v/>
      </c>
      <c r="D173" s="1" t="str">
        <f t="shared" si="13"/>
        <v/>
      </c>
      <c r="E173" s="82" t="str" cm="1">
        <f t="array" ref="E173">IFERROR(INDEX('Portfolio 3_2'!$O$3:$AK$101,'Portfolio 3_2'!$AO70,3),"")</f>
        <v/>
      </c>
      <c r="F173" s="82" t="str" cm="1">
        <f t="array" ref="F173">IFERROR(INDEX('Portfolio 3_2'!$O$3:$AK$101,'Portfolio 3_2'!$AO70,4),"")</f>
        <v/>
      </c>
      <c r="G173" s="82" t="str" cm="1">
        <f t="array" ref="G173">IFERROR(INDEX('Portfolio 3_2'!$O$3:$AK$101,'Portfolio 3_2'!$AO70,5),"")</f>
        <v/>
      </c>
      <c r="H173" s="82" t="str" cm="1">
        <f t="array" ref="H173">IFERROR(INDEX('Portfolio 3_2'!$O$3:$AK$101,'Portfolio 3_2'!$AO70,6),"")</f>
        <v/>
      </c>
      <c r="I173" s="82" t="str" cm="1">
        <f t="array" ref="I173">IFERROR(INDEX('Portfolio 3_2'!$O$3:$AK$101,'Portfolio 3_2'!$AO70,7),"")</f>
        <v/>
      </c>
      <c r="J173" s="82" t="str" cm="1">
        <f t="array" ref="J173">IFERROR(INDEX('Portfolio 3_2'!$O$3:$AK$101,'Portfolio 3_2'!$AO70,8),"")</f>
        <v/>
      </c>
      <c r="K173" s="82" t="str" cm="1">
        <f t="array" ref="K173">IFERROR(INDEX('Portfolio 3_2'!$O$3:$AK$101,'Portfolio 3_2'!$AO70,9),"")</f>
        <v/>
      </c>
      <c r="L173" s="82" t="str" cm="1">
        <f t="array" ref="L173">IFERROR(INDEX('Portfolio 3_2'!$O$3:$AK$101,'Portfolio 3_2'!$AO70,12),"")</f>
        <v/>
      </c>
      <c r="M173" s="82" t="str" cm="1">
        <f t="array" ref="M173">IFERROR(INDEX('Portfolio 3_2'!$O$3:$AK$101,'Portfolio 3_2'!$AO70,10),"")</f>
        <v/>
      </c>
      <c r="N173" s="82" t="str" cm="1">
        <f t="array" ref="N173">IFERROR(INDEX('Portfolio 3_2'!$O$3:$AK$101,'Portfolio 3_2'!$AO70,11),"")</f>
        <v/>
      </c>
      <c r="O173" s="82" t="str" cm="1">
        <f t="array" ref="O173">IFERROR(INDEX('Portfolio 3_2'!$O$3:$AK$101,'Portfolio 3_2'!$AO70,13),"")</f>
        <v/>
      </c>
      <c r="P173" s="82" t="str" cm="1">
        <f t="array" ref="P173">IFERROR(IF(ISNUMBER(FIND("กรุงเทพ",INDEX('Portfolio 3_2'!$O$3:$AK$101,'Portfolio 3_2'!$AO71,14))),"กรุงเทพมหานคร",INDEX('Portfolio 3_2'!$O$3:$AK$101,'Portfolio 3_2'!$AO70,14)),"")</f>
        <v/>
      </c>
      <c r="Q173" s="82" t="str" cm="1">
        <f t="array" ref="Q173">IFERROR(INDEX('Portfolio 3_2'!$O$3:$AK$101,'Portfolio 3_2'!$AO70,15),"")</f>
        <v/>
      </c>
      <c r="R173" s="82" t="str" cm="1">
        <f t="array" ref="R173">IFERROR(TEXT(INDEX('Portfolio 3_2'!$O$3:$AK$101,'Portfolio 3_2'!$AO70,16),"dd/mm/yyyy"),"")</f>
        <v/>
      </c>
      <c r="S173" s="82" t="str" cm="1">
        <f t="array" ref="S173">IFERROR(INDEX('Portfolio 3_2'!$O$3:$AK$101,'Portfolio 3_2'!$AO70,20),"")</f>
        <v/>
      </c>
      <c r="T173" s="82" t="str" cm="1">
        <f t="array" ref="T173">IFERROR(INDEX('Portfolio 3_2'!$O$3:$AK$101,'Portfolio 3_2'!$AO70,17),"")</f>
        <v/>
      </c>
      <c r="U173" s="82" t="str" cm="1">
        <f t="array" ref="U173">IFERROR(INDEX('Portfolio 3_2'!$O$3:$AK$101,'Portfolio 3_2'!$AO70,18),"")</f>
        <v/>
      </c>
      <c r="V173" s="82" t="str" cm="1">
        <f t="array" ref="V173">IFERROR(INDEX('Portfolio 3_2'!$O$3:$AK$101,'Portfolio 3_2'!$AO70,19),"")</f>
        <v/>
      </c>
      <c r="W173" s="1" t="str">
        <f t="shared" si="14"/>
        <v/>
      </c>
    </row>
    <row r="174" spans="1:23">
      <c r="A174" s="92" t="str">
        <f t="shared" si="11"/>
        <v/>
      </c>
      <c r="B174" s="82" t="str" cm="1">
        <f t="array" ref="B174">IFERROR(INDEX('Portfolio 3_2'!$O$3:$AK$101,'Portfolio 3_2'!$AO71,2),"")</f>
        <v/>
      </c>
      <c r="C174" s="1" t="str">
        <f t="shared" si="12"/>
        <v/>
      </c>
      <c r="D174" s="1" t="str">
        <f t="shared" si="13"/>
        <v/>
      </c>
      <c r="E174" s="82" t="str" cm="1">
        <f t="array" ref="E174">IFERROR(INDEX('Portfolio 3_2'!$O$3:$AK$101,'Portfolio 3_2'!$AO71,3),"")</f>
        <v/>
      </c>
      <c r="F174" s="82" t="str" cm="1">
        <f t="array" ref="F174">IFERROR(INDEX('Portfolio 3_2'!$O$3:$AK$101,'Portfolio 3_2'!$AO71,4),"")</f>
        <v/>
      </c>
      <c r="G174" s="82" t="str" cm="1">
        <f t="array" ref="G174">IFERROR(INDEX('Portfolio 3_2'!$O$3:$AK$101,'Portfolio 3_2'!$AO71,5),"")</f>
        <v/>
      </c>
      <c r="H174" s="82" t="str" cm="1">
        <f t="array" ref="H174">IFERROR(INDEX('Portfolio 3_2'!$O$3:$AK$101,'Portfolio 3_2'!$AO71,6),"")</f>
        <v/>
      </c>
      <c r="I174" s="82" t="str" cm="1">
        <f t="array" ref="I174">IFERROR(INDEX('Portfolio 3_2'!$O$3:$AK$101,'Portfolio 3_2'!$AO71,7),"")</f>
        <v/>
      </c>
      <c r="J174" s="82" t="str" cm="1">
        <f t="array" ref="J174">IFERROR(INDEX('Portfolio 3_2'!$O$3:$AK$101,'Portfolio 3_2'!$AO71,8),"")</f>
        <v/>
      </c>
      <c r="K174" s="82" t="str" cm="1">
        <f t="array" ref="K174">IFERROR(INDEX('Portfolio 3_2'!$O$3:$AK$101,'Portfolio 3_2'!$AO71,9),"")</f>
        <v/>
      </c>
      <c r="L174" s="82" t="str" cm="1">
        <f t="array" ref="L174">IFERROR(INDEX('Portfolio 3_2'!$O$3:$AK$101,'Portfolio 3_2'!$AO71,12),"")</f>
        <v/>
      </c>
      <c r="M174" s="82" t="str" cm="1">
        <f t="array" ref="M174">IFERROR(INDEX('Portfolio 3_2'!$O$3:$AK$101,'Portfolio 3_2'!$AO71,10),"")</f>
        <v/>
      </c>
      <c r="N174" s="82" t="str" cm="1">
        <f t="array" ref="N174">IFERROR(INDEX('Portfolio 3_2'!$O$3:$AK$101,'Portfolio 3_2'!$AO71,11),"")</f>
        <v/>
      </c>
      <c r="O174" s="82" t="str" cm="1">
        <f t="array" ref="O174">IFERROR(INDEX('Portfolio 3_2'!$O$3:$AK$101,'Portfolio 3_2'!$AO71,13),"")</f>
        <v/>
      </c>
      <c r="P174" s="82" t="str" cm="1">
        <f t="array" ref="P174">IFERROR(IF(ISNUMBER(FIND("กรุงเทพ",INDEX('Portfolio 3_2'!$O$3:$AK$101,'Portfolio 3_2'!$AO72,14))),"กรุงเทพมหานคร",INDEX('Portfolio 3_2'!$O$3:$AK$101,'Portfolio 3_2'!$AO71,14)),"")</f>
        <v/>
      </c>
      <c r="Q174" s="82" t="str" cm="1">
        <f t="array" ref="Q174">IFERROR(INDEX('Portfolio 3_2'!$O$3:$AK$101,'Portfolio 3_2'!$AO71,15),"")</f>
        <v/>
      </c>
      <c r="R174" s="82" t="str" cm="1">
        <f t="array" ref="R174">IFERROR(TEXT(INDEX('Portfolio 3_2'!$O$3:$AK$101,'Portfolio 3_2'!$AO71,16),"dd/mm/yyyy"),"")</f>
        <v/>
      </c>
      <c r="S174" s="82" t="str" cm="1">
        <f t="array" ref="S174">IFERROR(INDEX('Portfolio 3_2'!$O$3:$AK$101,'Portfolio 3_2'!$AO71,20),"")</f>
        <v/>
      </c>
      <c r="T174" s="82" t="str" cm="1">
        <f t="array" ref="T174">IFERROR(INDEX('Portfolio 3_2'!$O$3:$AK$101,'Portfolio 3_2'!$AO71,17),"")</f>
        <v/>
      </c>
      <c r="U174" s="82" t="str" cm="1">
        <f t="array" ref="U174">IFERROR(INDEX('Portfolio 3_2'!$O$3:$AK$101,'Portfolio 3_2'!$AO71,18),"")</f>
        <v/>
      </c>
      <c r="V174" s="82" t="str" cm="1">
        <f t="array" ref="V174">IFERROR(INDEX('Portfolio 3_2'!$O$3:$AK$101,'Portfolio 3_2'!$AO71,19),"")</f>
        <v/>
      </c>
      <c r="W174" s="1" t="str">
        <f t="shared" si="14"/>
        <v/>
      </c>
    </row>
    <row r="175" spans="1:23">
      <c r="A175" s="92" t="str">
        <f t="shared" si="11"/>
        <v/>
      </c>
      <c r="B175" s="82" t="str" cm="1">
        <f t="array" ref="B175">IFERROR(INDEX('Portfolio 3_2'!$O$3:$AK$101,'Portfolio 3_2'!$AO72,2),"")</f>
        <v/>
      </c>
      <c r="C175" s="1" t="str">
        <f t="shared" si="12"/>
        <v/>
      </c>
      <c r="D175" s="1" t="str">
        <f t="shared" si="13"/>
        <v/>
      </c>
      <c r="E175" s="82" t="str" cm="1">
        <f t="array" ref="E175">IFERROR(INDEX('Portfolio 3_2'!$O$3:$AK$101,'Portfolio 3_2'!$AO72,3),"")</f>
        <v/>
      </c>
      <c r="F175" s="82" t="str" cm="1">
        <f t="array" ref="F175">IFERROR(INDEX('Portfolio 3_2'!$O$3:$AK$101,'Portfolio 3_2'!$AO72,4),"")</f>
        <v/>
      </c>
      <c r="G175" s="82" t="str" cm="1">
        <f t="array" ref="G175">IFERROR(INDEX('Portfolio 3_2'!$O$3:$AK$101,'Portfolio 3_2'!$AO72,5),"")</f>
        <v/>
      </c>
      <c r="H175" s="82" t="str" cm="1">
        <f t="array" ref="H175">IFERROR(INDEX('Portfolio 3_2'!$O$3:$AK$101,'Portfolio 3_2'!$AO72,6),"")</f>
        <v/>
      </c>
      <c r="I175" s="82" t="str" cm="1">
        <f t="array" ref="I175">IFERROR(INDEX('Portfolio 3_2'!$O$3:$AK$101,'Portfolio 3_2'!$AO72,7),"")</f>
        <v/>
      </c>
      <c r="J175" s="82" t="str" cm="1">
        <f t="array" ref="J175">IFERROR(INDEX('Portfolio 3_2'!$O$3:$AK$101,'Portfolio 3_2'!$AO72,8),"")</f>
        <v/>
      </c>
      <c r="K175" s="82" t="str" cm="1">
        <f t="array" ref="K175">IFERROR(INDEX('Portfolio 3_2'!$O$3:$AK$101,'Portfolio 3_2'!$AO72,9),"")</f>
        <v/>
      </c>
      <c r="L175" s="82" t="str" cm="1">
        <f t="array" ref="L175">IFERROR(INDEX('Portfolio 3_2'!$O$3:$AK$101,'Portfolio 3_2'!$AO72,12),"")</f>
        <v/>
      </c>
      <c r="M175" s="82" t="str" cm="1">
        <f t="array" ref="M175">IFERROR(INDEX('Portfolio 3_2'!$O$3:$AK$101,'Portfolio 3_2'!$AO72,10),"")</f>
        <v/>
      </c>
      <c r="N175" s="82" t="str" cm="1">
        <f t="array" ref="N175">IFERROR(INDEX('Portfolio 3_2'!$O$3:$AK$101,'Portfolio 3_2'!$AO72,11),"")</f>
        <v/>
      </c>
      <c r="O175" s="82" t="str" cm="1">
        <f t="array" ref="O175">IFERROR(INDEX('Portfolio 3_2'!$O$3:$AK$101,'Portfolio 3_2'!$AO72,13),"")</f>
        <v/>
      </c>
      <c r="P175" s="82" t="str" cm="1">
        <f t="array" ref="P175">IFERROR(IF(ISNUMBER(FIND("กรุงเทพ",INDEX('Portfolio 3_2'!$O$3:$AK$101,'Portfolio 3_2'!$AO73,14))),"กรุงเทพมหานคร",INDEX('Portfolio 3_2'!$O$3:$AK$101,'Portfolio 3_2'!$AO72,14)),"")</f>
        <v/>
      </c>
      <c r="Q175" s="82" t="str" cm="1">
        <f t="array" ref="Q175">IFERROR(INDEX('Portfolio 3_2'!$O$3:$AK$101,'Portfolio 3_2'!$AO72,15),"")</f>
        <v/>
      </c>
      <c r="R175" s="82" t="str" cm="1">
        <f t="array" ref="R175">IFERROR(TEXT(INDEX('Portfolio 3_2'!$O$3:$AK$101,'Portfolio 3_2'!$AO72,16),"dd/mm/yyyy"),"")</f>
        <v/>
      </c>
      <c r="S175" s="82" t="str" cm="1">
        <f t="array" ref="S175">IFERROR(INDEX('Portfolio 3_2'!$O$3:$AK$101,'Portfolio 3_2'!$AO72,20),"")</f>
        <v/>
      </c>
      <c r="T175" s="82" t="str" cm="1">
        <f t="array" ref="T175">IFERROR(INDEX('Portfolio 3_2'!$O$3:$AK$101,'Portfolio 3_2'!$AO72,17),"")</f>
        <v/>
      </c>
      <c r="U175" s="82" t="str" cm="1">
        <f t="array" ref="U175">IFERROR(INDEX('Portfolio 3_2'!$O$3:$AK$101,'Portfolio 3_2'!$AO72,18),"")</f>
        <v/>
      </c>
      <c r="V175" s="82" t="str" cm="1">
        <f t="array" ref="V175">IFERROR(INDEX('Portfolio 3_2'!$O$3:$AK$101,'Portfolio 3_2'!$AO72,19),"")</f>
        <v/>
      </c>
      <c r="W175" s="1" t="str">
        <f t="shared" si="14"/>
        <v/>
      </c>
    </row>
    <row r="176" spans="1:23">
      <c r="A176" s="92" t="str">
        <f t="shared" si="11"/>
        <v/>
      </c>
      <c r="B176" s="82" t="str" cm="1">
        <f t="array" ref="B176">IFERROR(INDEX('Portfolio 3_2'!$O$3:$AK$101,'Portfolio 3_2'!$AO73,2),"")</f>
        <v/>
      </c>
      <c r="C176" s="1" t="str">
        <f t="shared" si="12"/>
        <v/>
      </c>
      <c r="D176" s="1" t="str">
        <f t="shared" si="13"/>
        <v/>
      </c>
      <c r="E176" s="82" t="str" cm="1">
        <f t="array" ref="E176">IFERROR(INDEX('Portfolio 3_2'!$O$3:$AK$101,'Portfolio 3_2'!$AO73,3),"")</f>
        <v/>
      </c>
      <c r="F176" s="82" t="str" cm="1">
        <f t="array" ref="F176">IFERROR(INDEX('Portfolio 3_2'!$O$3:$AK$101,'Portfolio 3_2'!$AO73,4),"")</f>
        <v/>
      </c>
      <c r="G176" s="82" t="str" cm="1">
        <f t="array" ref="G176">IFERROR(INDEX('Portfolio 3_2'!$O$3:$AK$101,'Portfolio 3_2'!$AO73,5),"")</f>
        <v/>
      </c>
      <c r="H176" s="82" t="str" cm="1">
        <f t="array" ref="H176">IFERROR(INDEX('Portfolio 3_2'!$O$3:$AK$101,'Portfolio 3_2'!$AO73,6),"")</f>
        <v/>
      </c>
      <c r="I176" s="82" t="str" cm="1">
        <f t="array" ref="I176">IFERROR(INDEX('Portfolio 3_2'!$O$3:$AK$101,'Portfolio 3_2'!$AO73,7),"")</f>
        <v/>
      </c>
      <c r="J176" s="82" t="str" cm="1">
        <f t="array" ref="J176">IFERROR(INDEX('Portfolio 3_2'!$O$3:$AK$101,'Portfolio 3_2'!$AO73,8),"")</f>
        <v/>
      </c>
      <c r="K176" s="82" t="str" cm="1">
        <f t="array" ref="K176">IFERROR(INDEX('Portfolio 3_2'!$O$3:$AK$101,'Portfolio 3_2'!$AO73,9),"")</f>
        <v/>
      </c>
      <c r="L176" s="82" t="str" cm="1">
        <f t="array" ref="L176">IFERROR(INDEX('Portfolio 3_2'!$O$3:$AK$101,'Portfolio 3_2'!$AO73,12),"")</f>
        <v/>
      </c>
      <c r="M176" s="82" t="str" cm="1">
        <f t="array" ref="M176">IFERROR(INDEX('Portfolio 3_2'!$O$3:$AK$101,'Portfolio 3_2'!$AO73,10),"")</f>
        <v/>
      </c>
      <c r="N176" s="82" t="str" cm="1">
        <f t="array" ref="N176">IFERROR(INDEX('Portfolio 3_2'!$O$3:$AK$101,'Portfolio 3_2'!$AO73,11),"")</f>
        <v/>
      </c>
      <c r="O176" s="82" t="str" cm="1">
        <f t="array" ref="O176">IFERROR(INDEX('Portfolio 3_2'!$O$3:$AK$101,'Portfolio 3_2'!$AO73,13),"")</f>
        <v/>
      </c>
      <c r="P176" s="82" t="str" cm="1">
        <f t="array" ref="P176">IFERROR(IF(ISNUMBER(FIND("กรุงเทพ",INDEX('Portfolio 3_2'!$O$3:$AK$101,'Portfolio 3_2'!$AO74,14))),"กรุงเทพมหานคร",INDEX('Portfolio 3_2'!$O$3:$AK$101,'Portfolio 3_2'!$AO73,14)),"")</f>
        <v/>
      </c>
      <c r="Q176" s="82" t="str" cm="1">
        <f t="array" ref="Q176">IFERROR(INDEX('Portfolio 3_2'!$O$3:$AK$101,'Portfolio 3_2'!$AO73,15),"")</f>
        <v/>
      </c>
      <c r="R176" s="82" t="str" cm="1">
        <f t="array" ref="R176">IFERROR(TEXT(INDEX('Portfolio 3_2'!$O$3:$AK$101,'Portfolio 3_2'!$AO73,16),"dd/mm/yyyy"),"")</f>
        <v/>
      </c>
      <c r="S176" s="82" t="str" cm="1">
        <f t="array" ref="S176">IFERROR(INDEX('Portfolio 3_2'!$O$3:$AK$101,'Portfolio 3_2'!$AO73,20),"")</f>
        <v/>
      </c>
      <c r="T176" s="82" t="str" cm="1">
        <f t="array" ref="T176">IFERROR(INDEX('Portfolio 3_2'!$O$3:$AK$101,'Portfolio 3_2'!$AO73,17),"")</f>
        <v/>
      </c>
      <c r="U176" s="82" t="str" cm="1">
        <f t="array" ref="U176">IFERROR(INDEX('Portfolio 3_2'!$O$3:$AK$101,'Portfolio 3_2'!$AO73,18),"")</f>
        <v/>
      </c>
      <c r="V176" s="82" t="str" cm="1">
        <f t="array" ref="V176">IFERROR(INDEX('Portfolio 3_2'!$O$3:$AK$101,'Portfolio 3_2'!$AO73,19),"")</f>
        <v/>
      </c>
      <c r="W176" s="1" t="str">
        <f t="shared" si="14"/>
        <v/>
      </c>
    </row>
    <row r="177" spans="1:23">
      <c r="A177" s="92" t="str">
        <f t="shared" si="11"/>
        <v/>
      </c>
      <c r="B177" s="82" t="str" cm="1">
        <f t="array" ref="B177">IFERROR(INDEX('Portfolio 3_2'!$O$3:$AK$101,'Portfolio 3_2'!$AO74,2),"")</f>
        <v/>
      </c>
      <c r="C177" s="1" t="str">
        <f t="shared" si="12"/>
        <v/>
      </c>
      <c r="D177" s="1" t="str">
        <f t="shared" si="13"/>
        <v/>
      </c>
      <c r="E177" s="82" t="str" cm="1">
        <f t="array" ref="E177">IFERROR(INDEX('Portfolio 3_2'!$O$3:$AK$101,'Portfolio 3_2'!$AO74,3),"")</f>
        <v/>
      </c>
      <c r="F177" s="82" t="str" cm="1">
        <f t="array" ref="F177">IFERROR(INDEX('Portfolio 3_2'!$O$3:$AK$101,'Portfolio 3_2'!$AO74,4),"")</f>
        <v/>
      </c>
      <c r="G177" s="82" t="str" cm="1">
        <f t="array" ref="G177">IFERROR(INDEX('Portfolio 3_2'!$O$3:$AK$101,'Portfolio 3_2'!$AO74,5),"")</f>
        <v/>
      </c>
      <c r="H177" s="82" t="str" cm="1">
        <f t="array" ref="H177">IFERROR(INDEX('Portfolio 3_2'!$O$3:$AK$101,'Portfolio 3_2'!$AO74,6),"")</f>
        <v/>
      </c>
      <c r="I177" s="82" t="str" cm="1">
        <f t="array" ref="I177">IFERROR(INDEX('Portfolio 3_2'!$O$3:$AK$101,'Portfolio 3_2'!$AO74,7),"")</f>
        <v/>
      </c>
      <c r="J177" s="82" t="str" cm="1">
        <f t="array" ref="J177">IFERROR(INDEX('Portfolio 3_2'!$O$3:$AK$101,'Portfolio 3_2'!$AO74,8),"")</f>
        <v/>
      </c>
      <c r="K177" s="82" t="str" cm="1">
        <f t="array" ref="K177">IFERROR(INDEX('Portfolio 3_2'!$O$3:$AK$101,'Portfolio 3_2'!$AO74,9),"")</f>
        <v/>
      </c>
      <c r="L177" s="82" t="str" cm="1">
        <f t="array" ref="L177">IFERROR(INDEX('Portfolio 3_2'!$O$3:$AK$101,'Portfolio 3_2'!$AO74,12),"")</f>
        <v/>
      </c>
      <c r="M177" s="82" t="str" cm="1">
        <f t="array" ref="M177">IFERROR(INDEX('Portfolio 3_2'!$O$3:$AK$101,'Portfolio 3_2'!$AO74,10),"")</f>
        <v/>
      </c>
      <c r="N177" s="82" t="str" cm="1">
        <f t="array" ref="N177">IFERROR(INDEX('Portfolio 3_2'!$O$3:$AK$101,'Portfolio 3_2'!$AO74,11),"")</f>
        <v/>
      </c>
      <c r="O177" s="82" t="str" cm="1">
        <f t="array" ref="O177">IFERROR(INDEX('Portfolio 3_2'!$O$3:$AK$101,'Portfolio 3_2'!$AO74,13),"")</f>
        <v/>
      </c>
      <c r="P177" s="82" t="str" cm="1">
        <f t="array" ref="P177">IFERROR(IF(ISNUMBER(FIND("กรุงเทพ",INDEX('Portfolio 3_2'!$O$3:$AK$101,'Portfolio 3_2'!$AO75,14))),"กรุงเทพมหานคร",INDEX('Portfolio 3_2'!$O$3:$AK$101,'Portfolio 3_2'!$AO74,14)),"")</f>
        <v/>
      </c>
      <c r="Q177" s="82" t="str" cm="1">
        <f t="array" ref="Q177">IFERROR(INDEX('Portfolio 3_2'!$O$3:$AK$101,'Portfolio 3_2'!$AO74,15),"")</f>
        <v/>
      </c>
      <c r="R177" s="82" t="str" cm="1">
        <f t="array" ref="R177">IFERROR(TEXT(INDEX('Portfolio 3_2'!$O$3:$AK$101,'Portfolio 3_2'!$AO74,16),"dd/mm/yyyy"),"")</f>
        <v/>
      </c>
      <c r="S177" s="82" t="str" cm="1">
        <f t="array" ref="S177">IFERROR(INDEX('Portfolio 3_2'!$O$3:$AK$101,'Portfolio 3_2'!$AO74,20),"")</f>
        <v/>
      </c>
      <c r="T177" s="82" t="str" cm="1">
        <f t="array" ref="T177">IFERROR(INDEX('Portfolio 3_2'!$O$3:$AK$101,'Portfolio 3_2'!$AO74,17),"")</f>
        <v/>
      </c>
      <c r="U177" s="82" t="str" cm="1">
        <f t="array" ref="U177">IFERROR(INDEX('Portfolio 3_2'!$O$3:$AK$101,'Portfolio 3_2'!$AO74,18),"")</f>
        <v/>
      </c>
      <c r="V177" s="82" t="str" cm="1">
        <f t="array" ref="V177">IFERROR(INDEX('Portfolio 3_2'!$O$3:$AK$101,'Portfolio 3_2'!$AO74,19),"")</f>
        <v/>
      </c>
      <c r="W177" s="1" t="str">
        <f t="shared" si="14"/>
        <v/>
      </c>
    </row>
    <row r="178" spans="1:23">
      <c r="A178" s="92" t="str">
        <f t="shared" si="11"/>
        <v/>
      </c>
      <c r="B178" s="82" t="str" cm="1">
        <f t="array" ref="B178">IFERROR(INDEX('Portfolio 3_2'!$O$3:$AK$101,'Portfolio 3_2'!$AO75,2),"")</f>
        <v/>
      </c>
      <c r="C178" s="1" t="str">
        <f t="shared" si="12"/>
        <v/>
      </c>
      <c r="D178" s="1" t="str">
        <f t="shared" si="13"/>
        <v/>
      </c>
      <c r="E178" s="82" t="str" cm="1">
        <f t="array" ref="E178">IFERROR(INDEX('Portfolio 3_2'!$O$3:$AK$101,'Portfolio 3_2'!$AO75,3),"")</f>
        <v/>
      </c>
      <c r="F178" s="82" t="str" cm="1">
        <f t="array" ref="F178">IFERROR(INDEX('Portfolio 3_2'!$O$3:$AK$101,'Portfolio 3_2'!$AO75,4),"")</f>
        <v/>
      </c>
      <c r="G178" s="82" t="str" cm="1">
        <f t="array" ref="G178">IFERROR(INDEX('Portfolio 3_2'!$O$3:$AK$101,'Portfolio 3_2'!$AO75,5),"")</f>
        <v/>
      </c>
      <c r="H178" s="82" t="str" cm="1">
        <f t="array" ref="H178">IFERROR(INDEX('Portfolio 3_2'!$O$3:$AK$101,'Portfolio 3_2'!$AO75,6),"")</f>
        <v/>
      </c>
      <c r="I178" s="82" t="str" cm="1">
        <f t="array" ref="I178">IFERROR(INDEX('Portfolio 3_2'!$O$3:$AK$101,'Portfolio 3_2'!$AO75,7),"")</f>
        <v/>
      </c>
      <c r="J178" s="82" t="str" cm="1">
        <f t="array" ref="J178">IFERROR(INDEX('Portfolio 3_2'!$O$3:$AK$101,'Portfolio 3_2'!$AO75,8),"")</f>
        <v/>
      </c>
      <c r="K178" s="82" t="str" cm="1">
        <f t="array" ref="K178">IFERROR(INDEX('Portfolio 3_2'!$O$3:$AK$101,'Portfolio 3_2'!$AO75,9),"")</f>
        <v/>
      </c>
      <c r="L178" s="82" t="str" cm="1">
        <f t="array" ref="L178">IFERROR(INDEX('Portfolio 3_2'!$O$3:$AK$101,'Portfolio 3_2'!$AO75,12),"")</f>
        <v/>
      </c>
      <c r="M178" s="82" t="str" cm="1">
        <f t="array" ref="M178">IFERROR(INDEX('Portfolio 3_2'!$O$3:$AK$101,'Portfolio 3_2'!$AO75,10),"")</f>
        <v/>
      </c>
      <c r="N178" s="82" t="str" cm="1">
        <f t="array" ref="N178">IFERROR(INDEX('Portfolio 3_2'!$O$3:$AK$101,'Portfolio 3_2'!$AO75,11),"")</f>
        <v/>
      </c>
      <c r="O178" s="82" t="str" cm="1">
        <f t="array" ref="O178">IFERROR(INDEX('Portfolio 3_2'!$O$3:$AK$101,'Portfolio 3_2'!$AO75,13),"")</f>
        <v/>
      </c>
      <c r="P178" s="82" t="str" cm="1">
        <f t="array" ref="P178">IFERROR(IF(ISNUMBER(FIND("กรุงเทพ",INDEX('Portfolio 3_2'!$O$3:$AK$101,'Portfolio 3_2'!$AO76,14))),"กรุงเทพมหานคร",INDEX('Portfolio 3_2'!$O$3:$AK$101,'Portfolio 3_2'!$AO75,14)),"")</f>
        <v/>
      </c>
      <c r="Q178" s="82" t="str" cm="1">
        <f t="array" ref="Q178">IFERROR(INDEX('Portfolio 3_2'!$O$3:$AK$101,'Portfolio 3_2'!$AO75,15),"")</f>
        <v/>
      </c>
      <c r="R178" s="82" t="str" cm="1">
        <f t="array" ref="R178">IFERROR(TEXT(INDEX('Portfolio 3_2'!$O$3:$AK$101,'Portfolio 3_2'!$AO75,16),"dd/mm/yyyy"),"")</f>
        <v/>
      </c>
      <c r="S178" s="82" t="str" cm="1">
        <f t="array" ref="S178">IFERROR(INDEX('Portfolio 3_2'!$O$3:$AK$101,'Portfolio 3_2'!$AO75,20),"")</f>
        <v/>
      </c>
      <c r="T178" s="82" t="str" cm="1">
        <f t="array" ref="T178">IFERROR(INDEX('Portfolio 3_2'!$O$3:$AK$101,'Portfolio 3_2'!$AO75,17),"")</f>
        <v/>
      </c>
      <c r="U178" s="82" t="str" cm="1">
        <f t="array" ref="U178">IFERROR(INDEX('Portfolio 3_2'!$O$3:$AK$101,'Portfolio 3_2'!$AO75,18),"")</f>
        <v/>
      </c>
      <c r="V178" s="82" t="str" cm="1">
        <f t="array" ref="V178">IFERROR(INDEX('Portfolio 3_2'!$O$3:$AK$101,'Portfolio 3_2'!$AO75,19),"")</f>
        <v/>
      </c>
      <c r="W178" s="1" t="str">
        <f t="shared" si="14"/>
        <v/>
      </c>
    </row>
    <row r="179" spans="1:23">
      <c r="A179" s="92" t="str">
        <f t="shared" si="11"/>
        <v/>
      </c>
      <c r="B179" s="82" t="str" cm="1">
        <f t="array" ref="B179">IFERROR(INDEX('Portfolio 3_2'!$O$3:$AK$101,'Portfolio 3_2'!$AO76,2),"")</f>
        <v/>
      </c>
      <c r="C179" s="1" t="str">
        <f t="shared" si="12"/>
        <v/>
      </c>
      <c r="D179" s="1" t="str">
        <f t="shared" si="13"/>
        <v/>
      </c>
      <c r="E179" s="82" t="str" cm="1">
        <f t="array" ref="E179">IFERROR(INDEX('Portfolio 3_2'!$O$3:$AK$101,'Portfolio 3_2'!$AO76,3),"")</f>
        <v/>
      </c>
      <c r="F179" s="82" t="str" cm="1">
        <f t="array" ref="F179">IFERROR(INDEX('Portfolio 3_2'!$O$3:$AK$101,'Portfolio 3_2'!$AO76,4),"")</f>
        <v/>
      </c>
      <c r="G179" s="82" t="str" cm="1">
        <f t="array" ref="G179">IFERROR(INDEX('Portfolio 3_2'!$O$3:$AK$101,'Portfolio 3_2'!$AO76,5),"")</f>
        <v/>
      </c>
      <c r="H179" s="82" t="str" cm="1">
        <f t="array" ref="H179">IFERROR(INDEX('Portfolio 3_2'!$O$3:$AK$101,'Portfolio 3_2'!$AO76,6),"")</f>
        <v/>
      </c>
      <c r="I179" s="82" t="str" cm="1">
        <f t="array" ref="I179">IFERROR(INDEX('Portfolio 3_2'!$O$3:$AK$101,'Portfolio 3_2'!$AO76,7),"")</f>
        <v/>
      </c>
      <c r="J179" s="82" t="str" cm="1">
        <f t="array" ref="J179">IFERROR(INDEX('Portfolio 3_2'!$O$3:$AK$101,'Portfolio 3_2'!$AO76,8),"")</f>
        <v/>
      </c>
      <c r="K179" s="82" t="str" cm="1">
        <f t="array" ref="K179">IFERROR(INDEX('Portfolio 3_2'!$O$3:$AK$101,'Portfolio 3_2'!$AO76,9),"")</f>
        <v/>
      </c>
      <c r="L179" s="82" t="str" cm="1">
        <f t="array" ref="L179">IFERROR(INDEX('Portfolio 3_2'!$O$3:$AK$101,'Portfolio 3_2'!$AO76,12),"")</f>
        <v/>
      </c>
      <c r="M179" s="82" t="str" cm="1">
        <f t="array" ref="M179">IFERROR(INDEX('Portfolio 3_2'!$O$3:$AK$101,'Portfolio 3_2'!$AO76,10),"")</f>
        <v/>
      </c>
      <c r="N179" s="82" t="str" cm="1">
        <f t="array" ref="N179">IFERROR(INDEX('Portfolio 3_2'!$O$3:$AK$101,'Portfolio 3_2'!$AO76,11),"")</f>
        <v/>
      </c>
      <c r="O179" s="82" t="str" cm="1">
        <f t="array" ref="O179">IFERROR(INDEX('Portfolio 3_2'!$O$3:$AK$101,'Portfolio 3_2'!$AO76,13),"")</f>
        <v/>
      </c>
      <c r="P179" s="82" t="str" cm="1">
        <f t="array" ref="P179">IFERROR(IF(ISNUMBER(FIND("กรุงเทพ",INDEX('Portfolio 3_2'!$O$3:$AK$101,'Portfolio 3_2'!$AO77,14))),"กรุงเทพมหานคร",INDEX('Portfolio 3_2'!$O$3:$AK$101,'Portfolio 3_2'!$AO76,14)),"")</f>
        <v/>
      </c>
      <c r="Q179" s="82" t="str" cm="1">
        <f t="array" ref="Q179">IFERROR(INDEX('Portfolio 3_2'!$O$3:$AK$101,'Portfolio 3_2'!$AO76,15),"")</f>
        <v/>
      </c>
      <c r="R179" s="82" t="str" cm="1">
        <f t="array" ref="R179">IFERROR(TEXT(INDEX('Portfolio 3_2'!$O$3:$AK$101,'Portfolio 3_2'!$AO76,16),"dd/mm/yyyy"),"")</f>
        <v/>
      </c>
      <c r="S179" s="82" t="str" cm="1">
        <f t="array" ref="S179">IFERROR(INDEX('Portfolio 3_2'!$O$3:$AK$101,'Portfolio 3_2'!$AO76,20),"")</f>
        <v/>
      </c>
      <c r="T179" s="82" t="str" cm="1">
        <f t="array" ref="T179">IFERROR(INDEX('Portfolio 3_2'!$O$3:$AK$101,'Portfolio 3_2'!$AO76,17),"")</f>
        <v/>
      </c>
      <c r="U179" s="82" t="str" cm="1">
        <f t="array" ref="U179">IFERROR(INDEX('Portfolio 3_2'!$O$3:$AK$101,'Portfolio 3_2'!$AO76,18),"")</f>
        <v/>
      </c>
      <c r="V179" s="82" t="str" cm="1">
        <f t="array" ref="V179">IFERROR(INDEX('Portfolio 3_2'!$O$3:$AK$101,'Portfolio 3_2'!$AO76,19),"")</f>
        <v/>
      </c>
      <c r="W179" s="1" t="str">
        <f t="shared" si="14"/>
        <v/>
      </c>
    </row>
    <row r="180" spans="1:23">
      <c r="A180" s="92" t="str">
        <f t="shared" si="11"/>
        <v/>
      </c>
      <c r="B180" s="82" t="str" cm="1">
        <f t="array" ref="B180">IFERROR(INDEX('Portfolio 3_2'!$O$3:$AK$101,'Portfolio 3_2'!$AO77,2),"")</f>
        <v/>
      </c>
      <c r="C180" s="1" t="str">
        <f t="shared" si="12"/>
        <v/>
      </c>
      <c r="D180" s="1" t="str">
        <f t="shared" si="13"/>
        <v/>
      </c>
      <c r="E180" s="82" t="str" cm="1">
        <f t="array" ref="E180">IFERROR(INDEX('Portfolio 3_2'!$O$3:$AK$101,'Portfolio 3_2'!$AO77,3),"")</f>
        <v/>
      </c>
      <c r="F180" s="82" t="str" cm="1">
        <f t="array" ref="F180">IFERROR(INDEX('Portfolio 3_2'!$O$3:$AK$101,'Portfolio 3_2'!$AO77,4),"")</f>
        <v/>
      </c>
      <c r="G180" s="82" t="str" cm="1">
        <f t="array" ref="G180">IFERROR(INDEX('Portfolio 3_2'!$O$3:$AK$101,'Portfolio 3_2'!$AO77,5),"")</f>
        <v/>
      </c>
      <c r="H180" s="82" t="str" cm="1">
        <f t="array" ref="H180">IFERROR(INDEX('Portfolio 3_2'!$O$3:$AK$101,'Portfolio 3_2'!$AO77,6),"")</f>
        <v/>
      </c>
      <c r="I180" s="82" t="str" cm="1">
        <f t="array" ref="I180">IFERROR(INDEX('Portfolio 3_2'!$O$3:$AK$101,'Portfolio 3_2'!$AO77,7),"")</f>
        <v/>
      </c>
      <c r="J180" s="82" t="str" cm="1">
        <f t="array" ref="J180">IFERROR(INDEX('Portfolio 3_2'!$O$3:$AK$101,'Portfolio 3_2'!$AO77,8),"")</f>
        <v/>
      </c>
      <c r="K180" s="82" t="str" cm="1">
        <f t="array" ref="K180">IFERROR(INDEX('Portfolio 3_2'!$O$3:$AK$101,'Portfolio 3_2'!$AO77,9),"")</f>
        <v/>
      </c>
      <c r="L180" s="82" t="str" cm="1">
        <f t="array" ref="L180">IFERROR(INDEX('Portfolio 3_2'!$O$3:$AK$101,'Portfolio 3_2'!$AO77,12),"")</f>
        <v/>
      </c>
      <c r="M180" s="82" t="str" cm="1">
        <f t="array" ref="M180">IFERROR(INDEX('Portfolio 3_2'!$O$3:$AK$101,'Portfolio 3_2'!$AO77,10),"")</f>
        <v/>
      </c>
      <c r="N180" s="82" t="str" cm="1">
        <f t="array" ref="N180">IFERROR(INDEX('Portfolio 3_2'!$O$3:$AK$101,'Portfolio 3_2'!$AO77,11),"")</f>
        <v/>
      </c>
      <c r="O180" s="82" t="str" cm="1">
        <f t="array" ref="O180">IFERROR(INDEX('Portfolio 3_2'!$O$3:$AK$101,'Portfolio 3_2'!$AO77,13),"")</f>
        <v/>
      </c>
      <c r="P180" s="82" t="str" cm="1">
        <f t="array" ref="P180">IFERROR(IF(ISNUMBER(FIND("กรุงเทพ",INDEX('Portfolio 3_2'!$O$3:$AK$101,'Portfolio 3_2'!$AO78,14))),"กรุงเทพมหานคร",INDEX('Portfolio 3_2'!$O$3:$AK$101,'Portfolio 3_2'!$AO77,14)),"")</f>
        <v/>
      </c>
      <c r="Q180" s="82" t="str" cm="1">
        <f t="array" ref="Q180">IFERROR(INDEX('Portfolio 3_2'!$O$3:$AK$101,'Portfolio 3_2'!$AO77,15),"")</f>
        <v/>
      </c>
      <c r="R180" s="82" t="str" cm="1">
        <f t="array" ref="R180">IFERROR(TEXT(INDEX('Portfolio 3_2'!$O$3:$AK$101,'Portfolio 3_2'!$AO77,16),"dd/mm/yyyy"),"")</f>
        <v/>
      </c>
      <c r="S180" s="82" t="str" cm="1">
        <f t="array" ref="S180">IFERROR(INDEX('Portfolio 3_2'!$O$3:$AK$101,'Portfolio 3_2'!$AO77,20),"")</f>
        <v/>
      </c>
      <c r="T180" s="82" t="str" cm="1">
        <f t="array" ref="T180">IFERROR(INDEX('Portfolio 3_2'!$O$3:$AK$101,'Portfolio 3_2'!$AO77,17),"")</f>
        <v/>
      </c>
      <c r="U180" s="82" t="str" cm="1">
        <f t="array" ref="U180">IFERROR(INDEX('Portfolio 3_2'!$O$3:$AK$101,'Portfolio 3_2'!$AO77,18),"")</f>
        <v/>
      </c>
      <c r="V180" s="82" t="str" cm="1">
        <f t="array" ref="V180">IFERROR(INDEX('Portfolio 3_2'!$O$3:$AK$101,'Portfolio 3_2'!$AO77,19),"")</f>
        <v/>
      </c>
      <c r="W180" s="1" t="str">
        <f t="shared" si="14"/>
        <v/>
      </c>
    </row>
    <row r="181" spans="1:23">
      <c r="A181" s="92" t="str">
        <f t="shared" si="11"/>
        <v/>
      </c>
      <c r="B181" s="82" t="str" cm="1">
        <f t="array" ref="B181">IFERROR(INDEX('Portfolio 3_2'!$O$3:$AK$101,'Portfolio 3_2'!$AO78,2),"")</f>
        <v/>
      </c>
      <c r="C181" s="1" t="str">
        <f t="shared" si="12"/>
        <v/>
      </c>
      <c r="D181" s="1" t="str">
        <f t="shared" si="13"/>
        <v/>
      </c>
      <c r="E181" s="82" t="str" cm="1">
        <f t="array" ref="E181">IFERROR(INDEX('Portfolio 3_2'!$O$3:$AK$101,'Portfolio 3_2'!$AO78,3),"")</f>
        <v/>
      </c>
      <c r="F181" s="82" t="str" cm="1">
        <f t="array" ref="F181">IFERROR(INDEX('Portfolio 3_2'!$O$3:$AK$101,'Portfolio 3_2'!$AO78,4),"")</f>
        <v/>
      </c>
      <c r="G181" s="82" t="str" cm="1">
        <f t="array" ref="G181">IFERROR(INDEX('Portfolio 3_2'!$O$3:$AK$101,'Portfolio 3_2'!$AO78,5),"")</f>
        <v/>
      </c>
      <c r="H181" s="82" t="str" cm="1">
        <f t="array" ref="H181">IFERROR(INDEX('Portfolio 3_2'!$O$3:$AK$101,'Portfolio 3_2'!$AO78,6),"")</f>
        <v/>
      </c>
      <c r="I181" s="82" t="str" cm="1">
        <f t="array" ref="I181">IFERROR(INDEX('Portfolio 3_2'!$O$3:$AK$101,'Portfolio 3_2'!$AO78,7),"")</f>
        <v/>
      </c>
      <c r="J181" s="82" t="str" cm="1">
        <f t="array" ref="J181">IFERROR(INDEX('Portfolio 3_2'!$O$3:$AK$101,'Portfolio 3_2'!$AO78,8),"")</f>
        <v/>
      </c>
      <c r="K181" s="82" t="str" cm="1">
        <f t="array" ref="K181">IFERROR(INDEX('Portfolio 3_2'!$O$3:$AK$101,'Portfolio 3_2'!$AO78,9),"")</f>
        <v/>
      </c>
      <c r="L181" s="82" t="str" cm="1">
        <f t="array" ref="L181">IFERROR(INDEX('Portfolio 3_2'!$O$3:$AK$101,'Portfolio 3_2'!$AO78,12),"")</f>
        <v/>
      </c>
      <c r="M181" s="82" t="str" cm="1">
        <f t="array" ref="M181">IFERROR(INDEX('Portfolio 3_2'!$O$3:$AK$101,'Portfolio 3_2'!$AO78,10),"")</f>
        <v/>
      </c>
      <c r="N181" s="82" t="str" cm="1">
        <f t="array" ref="N181">IFERROR(INDEX('Portfolio 3_2'!$O$3:$AK$101,'Portfolio 3_2'!$AO78,11),"")</f>
        <v/>
      </c>
      <c r="O181" s="82" t="str" cm="1">
        <f t="array" ref="O181">IFERROR(INDEX('Portfolio 3_2'!$O$3:$AK$101,'Portfolio 3_2'!$AO78,13),"")</f>
        <v/>
      </c>
      <c r="P181" s="82" t="str" cm="1">
        <f t="array" ref="P181">IFERROR(IF(ISNUMBER(FIND("กรุงเทพ",INDEX('Portfolio 3_2'!$O$3:$AK$101,'Portfolio 3_2'!$AO79,14))),"กรุงเทพมหานคร",INDEX('Portfolio 3_2'!$O$3:$AK$101,'Portfolio 3_2'!$AO78,14)),"")</f>
        <v/>
      </c>
      <c r="Q181" s="82" t="str" cm="1">
        <f t="array" ref="Q181">IFERROR(INDEX('Portfolio 3_2'!$O$3:$AK$101,'Portfolio 3_2'!$AO78,15),"")</f>
        <v/>
      </c>
      <c r="R181" s="82" t="str" cm="1">
        <f t="array" ref="R181">IFERROR(TEXT(INDEX('Portfolio 3_2'!$O$3:$AK$101,'Portfolio 3_2'!$AO78,16),"dd/mm/yyyy"),"")</f>
        <v/>
      </c>
      <c r="S181" s="82" t="str" cm="1">
        <f t="array" ref="S181">IFERROR(INDEX('Portfolio 3_2'!$O$3:$AK$101,'Portfolio 3_2'!$AO78,20),"")</f>
        <v/>
      </c>
      <c r="T181" s="82" t="str" cm="1">
        <f t="array" ref="T181">IFERROR(INDEX('Portfolio 3_2'!$O$3:$AK$101,'Portfolio 3_2'!$AO78,17),"")</f>
        <v/>
      </c>
      <c r="U181" s="82" t="str" cm="1">
        <f t="array" ref="U181">IFERROR(INDEX('Portfolio 3_2'!$O$3:$AK$101,'Portfolio 3_2'!$AO78,18),"")</f>
        <v/>
      </c>
      <c r="V181" s="82" t="str" cm="1">
        <f t="array" ref="V181">IFERROR(INDEX('Portfolio 3_2'!$O$3:$AK$101,'Portfolio 3_2'!$AO78,19),"")</f>
        <v/>
      </c>
      <c r="W181" s="1" t="str">
        <f t="shared" si="14"/>
        <v/>
      </c>
    </row>
    <row r="182" spans="1:23">
      <c r="A182" s="92" t="str">
        <f t="shared" si="11"/>
        <v/>
      </c>
      <c r="B182" s="82" t="str" cm="1">
        <f t="array" ref="B182">IFERROR(INDEX('Portfolio 3_2'!$O$3:$AK$101,'Portfolio 3_2'!$AO79,2),"")</f>
        <v/>
      </c>
      <c r="C182" s="1" t="str">
        <f t="shared" si="12"/>
        <v/>
      </c>
      <c r="D182" s="1" t="str">
        <f t="shared" si="13"/>
        <v/>
      </c>
      <c r="E182" s="82" t="str" cm="1">
        <f t="array" ref="E182">IFERROR(INDEX('Portfolio 3_2'!$O$3:$AK$101,'Portfolio 3_2'!$AO79,3),"")</f>
        <v/>
      </c>
      <c r="F182" s="82" t="str" cm="1">
        <f t="array" ref="F182">IFERROR(INDEX('Portfolio 3_2'!$O$3:$AK$101,'Portfolio 3_2'!$AO79,4),"")</f>
        <v/>
      </c>
      <c r="G182" s="82" t="str" cm="1">
        <f t="array" ref="G182">IFERROR(INDEX('Portfolio 3_2'!$O$3:$AK$101,'Portfolio 3_2'!$AO79,5),"")</f>
        <v/>
      </c>
      <c r="H182" s="82" t="str" cm="1">
        <f t="array" ref="H182">IFERROR(INDEX('Portfolio 3_2'!$O$3:$AK$101,'Portfolio 3_2'!$AO79,6),"")</f>
        <v/>
      </c>
      <c r="I182" s="82" t="str" cm="1">
        <f t="array" ref="I182">IFERROR(INDEX('Portfolio 3_2'!$O$3:$AK$101,'Portfolio 3_2'!$AO79,7),"")</f>
        <v/>
      </c>
      <c r="J182" s="82" t="str" cm="1">
        <f t="array" ref="J182">IFERROR(INDEX('Portfolio 3_2'!$O$3:$AK$101,'Portfolio 3_2'!$AO79,8),"")</f>
        <v/>
      </c>
      <c r="K182" s="82" t="str" cm="1">
        <f t="array" ref="K182">IFERROR(INDEX('Portfolio 3_2'!$O$3:$AK$101,'Portfolio 3_2'!$AO79,9),"")</f>
        <v/>
      </c>
      <c r="L182" s="82" t="str" cm="1">
        <f t="array" ref="L182">IFERROR(INDEX('Portfolio 3_2'!$O$3:$AK$101,'Portfolio 3_2'!$AO79,12),"")</f>
        <v/>
      </c>
      <c r="M182" s="82" t="str" cm="1">
        <f t="array" ref="M182">IFERROR(INDEX('Portfolio 3_2'!$O$3:$AK$101,'Portfolio 3_2'!$AO79,10),"")</f>
        <v/>
      </c>
      <c r="N182" s="82" t="str" cm="1">
        <f t="array" ref="N182">IFERROR(INDEX('Portfolio 3_2'!$O$3:$AK$101,'Portfolio 3_2'!$AO79,11),"")</f>
        <v/>
      </c>
      <c r="O182" s="82" t="str" cm="1">
        <f t="array" ref="O182">IFERROR(INDEX('Portfolio 3_2'!$O$3:$AK$101,'Portfolio 3_2'!$AO79,13),"")</f>
        <v/>
      </c>
      <c r="P182" s="82" t="str" cm="1">
        <f t="array" ref="P182">IFERROR(IF(ISNUMBER(FIND("กรุงเทพ",INDEX('Portfolio 3_2'!$O$3:$AK$101,'Portfolio 3_2'!$AO80,14))),"กรุงเทพมหานคร",INDEX('Portfolio 3_2'!$O$3:$AK$101,'Portfolio 3_2'!$AO79,14)),"")</f>
        <v/>
      </c>
      <c r="Q182" s="82" t="str" cm="1">
        <f t="array" ref="Q182">IFERROR(INDEX('Portfolio 3_2'!$O$3:$AK$101,'Portfolio 3_2'!$AO79,15),"")</f>
        <v/>
      </c>
      <c r="R182" s="82" t="str" cm="1">
        <f t="array" ref="R182">IFERROR(TEXT(INDEX('Portfolio 3_2'!$O$3:$AK$101,'Portfolio 3_2'!$AO79,16),"dd/mm/yyyy"),"")</f>
        <v/>
      </c>
      <c r="S182" s="82" t="str" cm="1">
        <f t="array" ref="S182">IFERROR(INDEX('Portfolio 3_2'!$O$3:$AK$101,'Portfolio 3_2'!$AO79,20),"")</f>
        <v/>
      </c>
      <c r="T182" s="82" t="str" cm="1">
        <f t="array" ref="T182">IFERROR(INDEX('Portfolio 3_2'!$O$3:$AK$101,'Portfolio 3_2'!$AO79,17),"")</f>
        <v/>
      </c>
      <c r="U182" s="82" t="str" cm="1">
        <f t="array" ref="U182">IFERROR(INDEX('Portfolio 3_2'!$O$3:$AK$101,'Portfolio 3_2'!$AO79,18),"")</f>
        <v/>
      </c>
      <c r="V182" s="82" t="str" cm="1">
        <f t="array" ref="V182">IFERROR(INDEX('Portfolio 3_2'!$O$3:$AK$101,'Portfolio 3_2'!$AO79,19),"")</f>
        <v/>
      </c>
      <c r="W182" s="1" t="str">
        <f t="shared" si="14"/>
        <v/>
      </c>
    </row>
    <row r="183" spans="1:23">
      <c r="A183" s="92" t="str">
        <f t="shared" si="11"/>
        <v/>
      </c>
      <c r="B183" s="82" t="str" cm="1">
        <f t="array" ref="B183">IFERROR(INDEX('Portfolio 3_2'!$O$3:$AK$101,'Portfolio 3_2'!$AO80,2),"")</f>
        <v/>
      </c>
      <c r="C183" s="1" t="str">
        <f t="shared" si="12"/>
        <v/>
      </c>
      <c r="D183" s="1" t="str">
        <f t="shared" si="13"/>
        <v/>
      </c>
      <c r="E183" s="82" t="str" cm="1">
        <f t="array" ref="E183">IFERROR(INDEX('Portfolio 3_2'!$O$3:$AK$101,'Portfolio 3_2'!$AO80,3),"")</f>
        <v/>
      </c>
      <c r="F183" s="82" t="str" cm="1">
        <f t="array" ref="F183">IFERROR(INDEX('Portfolio 3_2'!$O$3:$AK$101,'Portfolio 3_2'!$AO80,4),"")</f>
        <v/>
      </c>
      <c r="G183" s="82" t="str" cm="1">
        <f t="array" ref="G183">IFERROR(INDEX('Portfolio 3_2'!$O$3:$AK$101,'Portfolio 3_2'!$AO80,5),"")</f>
        <v/>
      </c>
      <c r="H183" s="82" t="str" cm="1">
        <f t="array" ref="H183">IFERROR(INDEX('Portfolio 3_2'!$O$3:$AK$101,'Portfolio 3_2'!$AO80,6),"")</f>
        <v/>
      </c>
      <c r="I183" s="82" t="str" cm="1">
        <f t="array" ref="I183">IFERROR(INDEX('Portfolio 3_2'!$O$3:$AK$101,'Portfolio 3_2'!$AO80,7),"")</f>
        <v/>
      </c>
      <c r="J183" s="82" t="str" cm="1">
        <f t="array" ref="J183">IFERROR(INDEX('Portfolio 3_2'!$O$3:$AK$101,'Portfolio 3_2'!$AO80,8),"")</f>
        <v/>
      </c>
      <c r="K183" s="82" t="str" cm="1">
        <f t="array" ref="K183">IFERROR(INDEX('Portfolio 3_2'!$O$3:$AK$101,'Portfolio 3_2'!$AO80,9),"")</f>
        <v/>
      </c>
      <c r="L183" s="82" t="str" cm="1">
        <f t="array" ref="L183">IFERROR(INDEX('Portfolio 3_2'!$O$3:$AK$101,'Portfolio 3_2'!$AO80,12),"")</f>
        <v/>
      </c>
      <c r="M183" s="82" t="str" cm="1">
        <f t="array" ref="M183">IFERROR(INDEX('Portfolio 3_2'!$O$3:$AK$101,'Portfolio 3_2'!$AO80,10),"")</f>
        <v/>
      </c>
      <c r="N183" s="82" t="str" cm="1">
        <f t="array" ref="N183">IFERROR(INDEX('Portfolio 3_2'!$O$3:$AK$101,'Portfolio 3_2'!$AO80,11),"")</f>
        <v/>
      </c>
      <c r="O183" s="82" t="str" cm="1">
        <f t="array" ref="O183">IFERROR(INDEX('Portfolio 3_2'!$O$3:$AK$101,'Portfolio 3_2'!$AO80,13),"")</f>
        <v/>
      </c>
      <c r="P183" s="82" t="str" cm="1">
        <f t="array" ref="P183">IFERROR(IF(ISNUMBER(FIND("กรุงเทพ",INDEX('Portfolio 3_2'!$O$3:$AK$101,'Portfolio 3_2'!$AO81,14))),"กรุงเทพมหานคร",INDEX('Portfolio 3_2'!$O$3:$AK$101,'Portfolio 3_2'!$AO80,14)),"")</f>
        <v/>
      </c>
      <c r="Q183" s="82" t="str" cm="1">
        <f t="array" ref="Q183">IFERROR(INDEX('Portfolio 3_2'!$O$3:$AK$101,'Portfolio 3_2'!$AO80,15),"")</f>
        <v/>
      </c>
      <c r="R183" s="82" t="str" cm="1">
        <f t="array" ref="R183">IFERROR(TEXT(INDEX('Portfolio 3_2'!$O$3:$AK$101,'Portfolio 3_2'!$AO80,16),"dd/mm/yyyy"),"")</f>
        <v/>
      </c>
      <c r="S183" s="82" t="str" cm="1">
        <f t="array" ref="S183">IFERROR(INDEX('Portfolio 3_2'!$O$3:$AK$101,'Portfolio 3_2'!$AO80,20),"")</f>
        <v/>
      </c>
      <c r="T183" s="82" t="str" cm="1">
        <f t="array" ref="T183">IFERROR(INDEX('Portfolio 3_2'!$O$3:$AK$101,'Portfolio 3_2'!$AO80,17),"")</f>
        <v/>
      </c>
      <c r="U183" s="82" t="str" cm="1">
        <f t="array" ref="U183">IFERROR(INDEX('Portfolio 3_2'!$O$3:$AK$101,'Portfolio 3_2'!$AO80,18),"")</f>
        <v/>
      </c>
      <c r="V183" s="82" t="str" cm="1">
        <f t="array" ref="V183">IFERROR(INDEX('Portfolio 3_2'!$O$3:$AK$101,'Portfolio 3_2'!$AO80,19),"")</f>
        <v/>
      </c>
      <c r="W183" s="1" t="str">
        <f t="shared" si="14"/>
        <v/>
      </c>
    </row>
    <row r="184" spans="1:23">
      <c r="A184" s="92" t="str">
        <f t="shared" si="11"/>
        <v/>
      </c>
      <c r="B184" s="82" t="str" cm="1">
        <f t="array" ref="B184">IFERROR(INDEX('Portfolio 3_2'!$O$3:$AK$101,'Portfolio 3_2'!$AO81,2),"")</f>
        <v/>
      </c>
      <c r="C184" s="1" t="str">
        <f t="shared" si="12"/>
        <v/>
      </c>
      <c r="D184" s="1" t="str">
        <f t="shared" si="13"/>
        <v/>
      </c>
      <c r="E184" s="82" t="str" cm="1">
        <f t="array" ref="E184">IFERROR(INDEX('Portfolio 3_2'!$O$3:$AK$101,'Portfolio 3_2'!$AO81,3),"")</f>
        <v/>
      </c>
      <c r="F184" s="82" t="str" cm="1">
        <f t="array" ref="F184">IFERROR(INDEX('Portfolio 3_2'!$O$3:$AK$101,'Portfolio 3_2'!$AO81,4),"")</f>
        <v/>
      </c>
      <c r="G184" s="82" t="str" cm="1">
        <f t="array" ref="G184">IFERROR(INDEX('Portfolio 3_2'!$O$3:$AK$101,'Portfolio 3_2'!$AO81,5),"")</f>
        <v/>
      </c>
      <c r="H184" s="82" t="str" cm="1">
        <f t="array" ref="H184">IFERROR(INDEX('Portfolio 3_2'!$O$3:$AK$101,'Portfolio 3_2'!$AO81,6),"")</f>
        <v/>
      </c>
      <c r="I184" s="82" t="str" cm="1">
        <f t="array" ref="I184">IFERROR(INDEX('Portfolio 3_2'!$O$3:$AK$101,'Portfolio 3_2'!$AO81,7),"")</f>
        <v/>
      </c>
      <c r="J184" s="82" t="str" cm="1">
        <f t="array" ref="J184">IFERROR(INDEX('Portfolio 3_2'!$O$3:$AK$101,'Portfolio 3_2'!$AO81,8),"")</f>
        <v/>
      </c>
      <c r="K184" s="82" t="str" cm="1">
        <f t="array" ref="K184">IFERROR(INDEX('Portfolio 3_2'!$O$3:$AK$101,'Portfolio 3_2'!$AO81,9),"")</f>
        <v/>
      </c>
      <c r="L184" s="82" t="str" cm="1">
        <f t="array" ref="L184">IFERROR(INDEX('Portfolio 3_2'!$O$3:$AK$101,'Portfolio 3_2'!$AO81,12),"")</f>
        <v/>
      </c>
      <c r="M184" s="82" t="str" cm="1">
        <f t="array" ref="M184">IFERROR(INDEX('Portfolio 3_2'!$O$3:$AK$101,'Portfolio 3_2'!$AO81,10),"")</f>
        <v/>
      </c>
      <c r="N184" s="82" t="str" cm="1">
        <f t="array" ref="N184">IFERROR(INDEX('Portfolio 3_2'!$O$3:$AK$101,'Portfolio 3_2'!$AO81,11),"")</f>
        <v/>
      </c>
      <c r="O184" s="82" t="str" cm="1">
        <f t="array" ref="O184">IFERROR(INDEX('Portfolio 3_2'!$O$3:$AK$101,'Portfolio 3_2'!$AO81,13),"")</f>
        <v/>
      </c>
      <c r="P184" s="82" t="str" cm="1">
        <f t="array" ref="P184">IFERROR(IF(ISNUMBER(FIND("กรุงเทพ",INDEX('Portfolio 3_2'!$O$3:$AK$101,'Portfolio 3_2'!$AO82,14))),"กรุงเทพมหานคร",INDEX('Portfolio 3_2'!$O$3:$AK$101,'Portfolio 3_2'!$AO81,14)),"")</f>
        <v/>
      </c>
      <c r="Q184" s="82" t="str" cm="1">
        <f t="array" ref="Q184">IFERROR(INDEX('Portfolio 3_2'!$O$3:$AK$101,'Portfolio 3_2'!$AO81,15),"")</f>
        <v/>
      </c>
      <c r="R184" s="82" t="str" cm="1">
        <f t="array" ref="R184">IFERROR(TEXT(INDEX('Portfolio 3_2'!$O$3:$AK$101,'Portfolio 3_2'!$AO81,16),"dd/mm/yyyy"),"")</f>
        <v/>
      </c>
      <c r="S184" s="82" t="str" cm="1">
        <f t="array" ref="S184">IFERROR(INDEX('Portfolio 3_2'!$O$3:$AK$101,'Portfolio 3_2'!$AO81,20),"")</f>
        <v/>
      </c>
      <c r="T184" s="82" t="str" cm="1">
        <f t="array" ref="T184">IFERROR(INDEX('Portfolio 3_2'!$O$3:$AK$101,'Portfolio 3_2'!$AO81,17),"")</f>
        <v/>
      </c>
      <c r="U184" s="82" t="str" cm="1">
        <f t="array" ref="U184">IFERROR(INDEX('Portfolio 3_2'!$O$3:$AK$101,'Portfolio 3_2'!$AO81,18),"")</f>
        <v/>
      </c>
      <c r="V184" s="82" t="str" cm="1">
        <f t="array" ref="V184">IFERROR(INDEX('Portfolio 3_2'!$O$3:$AK$101,'Portfolio 3_2'!$AO81,19),"")</f>
        <v/>
      </c>
      <c r="W184" s="1" t="str">
        <f t="shared" si="14"/>
        <v/>
      </c>
    </row>
    <row r="185" spans="1:23">
      <c r="A185" s="92" t="str">
        <f t="shared" si="11"/>
        <v/>
      </c>
      <c r="B185" s="82" t="str" cm="1">
        <f t="array" ref="B185">IFERROR(INDEX('Portfolio 3_2'!$O$3:$AK$101,'Portfolio 3_2'!$AO82,2),"")</f>
        <v/>
      </c>
      <c r="C185" s="1" t="str">
        <f t="shared" si="12"/>
        <v/>
      </c>
      <c r="D185" s="1" t="str">
        <f t="shared" si="13"/>
        <v/>
      </c>
      <c r="E185" s="82" t="str" cm="1">
        <f t="array" ref="E185">IFERROR(INDEX('Portfolio 3_2'!$O$3:$AK$101,'Portfolio 3_2'!$AO82,3),"")</f>
        <v/>
      </c>
      <c r="F185" s="82" t="str" cm="1">
        <f t="array" ref="F185">IFERROR(INDEX('Portfolio 3_2'!$O$3:$AK$101,'Portfolio 3_2'!$AO82,4),"")</f>
        <v/>
      </c>
      <c r="G185" s="82" t="str" cm="1">
        <f t="array" ref="G185">IFERROR(INDEX('Portfolio 3_2'!$O$3:$AK$101,'Portfolio 3_2'!$AO82,5),"")</f>
        <v/>
      </c>
      <c r="H185" s="82" t="str" cm="1">
        <f t="array" ref="H185">IFERROR(INDEX('Portfolio 3_2'!$O$3:$AK$101,'Portfolio 3_2'!$AO82,6),"")</f>
        <v/>
      </c>
      <c r="I185" s="82" t="str" cm="1">
        <f t="array" ref="I185">IFERROR(INDEX('Portfolio 3_2'!$O$3:$AK$101,'Portfolio 3_2'!$AO82,7),"")</f>
        <v/>
      </c>
      <c r="J185" s="82" t="str" cm="1">
        <f t="array" ref="J185">IFERROR(INDEX('Portfolio 3_2'!$O$3:$AK$101,'Portfolio 3_2'!$AO82,8),"")</f>
        <v/>
      </c>
      <c r="K185" s="82" t="str" cm="1">
        <f t="array" ref="K185">IFERROR(INDEX('Portfolio 3_2'!$O$3:$AK$101,'Portfolio 3_2'!$AO82,9),"")</f>
        <v/>
      </c>
      <c r="L185" s="82" t="str" cm="1">
        <f t="array" ref="L185">IFERROR(INDEX('Portfolio 3_2'!$O$3:$AK$101,'Portfolio 3_2'!$AO82,12),"")</f>
        <v/>
      </c>
      <c r="M185" s="82" t="str" cm="1">
        <f t="array" ref="M185">IFERROR(INDEX('Portfolio 3_2'!$O$3:$AK$101,'Portfolio 3_2'!$AO82,10),"")</f>
        <v/>
      </c>
      <c r="N185" s="82" t="str" cm="1">
        <f t="array" ref="N185">IFERROR(INDEX('Portfolio 3_2'!$O$3:$AK$101,'Portfolio 3_2'!$AO82,11),"")</f>
        <v/>
      </c>
      <c r="O185" s="82" t="str" cm="1">
        <f t="array" ref="O185">IFERROR(INDEX('Portfolio 3_2'!$O$3:$AK$101,'Portfolio 3_2'!$AO82,13),"")</f>
        <v/>
      </c>
      <c r="P185" s="82" t="str" cm="1">
        <f t="array" ref="P185">IFERROR(IF(ISNUMBER(FIND("กรุงเทพ",INDEX('Portfolio 3_2'!$O$3:$AK$101,'Portfolio 3_2'!$AO83,14))),"กรุงเทพมหานคร",INDEX('Portfolio 3_2'!$O$3:$AK$101,'Portfolio 3_2'!$AO82,14)),"")</f>
        <v/>
      </c>
      <c r="Q185" s="82" t="str" cm="1">
        <f t="array" ref="Q185">IFERROR(INDEX('Portfolio 3_2'!$O$3:$AK$101,'Portfolio 3_2'!$AO82,15),"")</f>
        <v/>
      </c>
      <c r="R185" s="82" t="str" cm="1">
        <f t="array" ref="R185">IFERROR(TEXT(INDEX('Portfolio 3_2'!$O$3:$AK$101,'Portfolio 3_2'!$AO82,16),"dd/mm/yyyy"),"")</f>
        <v/>
      </c>
      <c r="S185" s="82" t="str" cm="1">
        <f t="array" ref="S185">IFERROR(INDEX('Portfolio 3_2'!$O$3:$AK$101,'Portfolio 3_2'!$AO82,20),"")</f>
        <v/>
      </c>
      <c r="T185" s="82" t="str" cm="1">
        <f t="array" ref="T185">IFERROR(INDEX('Portfolio 3_2'!$O$3:$AK$101,'Portfolio 3_2'!$AO82,17),"")</f>
        <v/>
      </c>
      <c r="U185" s="82" t="str" cm="1">
        <f t="array" ref="U185">IFERROR(INDEX('Portfolio 3_2'!$O$3:$AK$101,'Portfolio 3_2'!$AO82,18),"")</f>
        <v/>
      </c>
      <c r="V185" s="82" t="str" cm="1">
        <f t="array" ref="V185">IFERROR(INDEX('Portfolio 3_2'!$O$3:$AK$101,'Portfolio 3_2'!$AO82,19),"")</f>
        <v/>
      </c>
      <c r="W185" s="1" t="str">
        <f t="shared" si="14"/>
        <v/>
      </c>
    </row>
    <row r="186" spans="1:23">
      <c r="A186" s="92" t="str">
        <f t="shared" si="11"/>
        <v/>
      </c>
      <c r="B186" s="82" t="str" cm="1">
        <f t="array" ref="B186">IFERROR(INDEX('Portfolio 3_2'!$O$3:$AK$101,'Portfolio 3_2'!$AO83,2),"")</f>
        <v/>
      </c>
      <c r="C186" s="1" t="str">
        <f t="shared" si="12"/>
        <v/>
      </c>
      <c r="D186" s="1" t="str">
        <f t="shared" si="13"/>
        <v/>
      </c>
      <c r="E186" s="82" t="str" cm="1">
        <f t="array" ref="E186">IFERROR(INDEX('Portfolio 3_2'!$O$3:$AK$101,'Portfolio 3_2'!$AO83,3),"")</f>
        <v/>
      </c>
      <c r="F186" s="82" t="str" cm="1">
        <f t="array" ref="F186">IFERROR(INDEX('Portfolio 3_2'!$O$3:$AK$101,'Portfolio 3_2'!$AO83,4),"")</f>
        <v/>
      </c>
      <c r="G186" s="82" t="str" cm="1">
        <f t="array" ref="G186">IFERROR(INDEX('Portfolio 3_2'!$O$3:$AK$101,'Portfolio 3_2'!$AO83,5),"")</f>
        <v/>
      </c>
      <c r="H186" s="82" t="str" cm="1">
        <f t="array" ref="H186">IFERROR(INDEX('Portfolio 3_2'!$O$3:$AK$101,'Portfolio 3_2'!$AO83,6),"")</f>
        <v/>
      </c>
      <c r="I186" s="82" t="str" cm="1">
        <f t="array" ref="I186">IFERROR(INDEX('Portfolio 3_2'!$O$3:$AK$101,'Portfolio 3_2'!$AO83,7),"")</f>
        <v/>
      </c>
      <c r="J186" s="82" t="str" cm="1">
        <f t="array" ref="J186">IFERROR(INDEX('Portfolio 3_2'!$O$3:$AK$101,'Portfolio 3_2'!$AO83,8),"")</f>
        <v/>
      </c>
      <c r="K186" s="82" t="str" cm="1">
        <f t="array" ref="K186">IFERROR(INDEX('Portfolio 3_2'!$O$3:$AK$101,'Portfolio 3_2'!$AO83,9),"")</f>
        <v/>
      </c>
      <c r="L186" s="82" t="str" cm="1">
        <f t="array" ref="L186">IFERROR(INDEX('Portfolio 3_2'!$O$3:$AK$101,'Portfolio 3_2'!$AO83,12),"")</f>
        <v/>
      </c>
      <c r="M186" s="82" t="str" cm="1">
        <f t="array" ref="M186">IFERROR(INDEX('Portfolio 3_2'!$O$3:$AK$101,'Portfolio 3_2'!$AO83,10),"")</f>
        <v/>
      </c>
      <c r="N186" s="82" t="str" cm="1">
        <f t="array" ref="N186">IFERROR(INDEX('Portfolio 3_2'!$O$3:$AK$101,'Portfolio 3_2'!$AO83,11),"")</f>
        <v/>
      </c>
      <c r="O186" s="82" t="str" cm="1">
        <f t="array" ref="O186">IFERROR(INDEX('Portfolio 3_2'!$O$3:$AK$101,'Portfolio 3_2'!$AO83,13),"")</f>
        <v/>
      </c>
      <c r="P186" s="82" t="str" cm="1">
        <f t="array" ref="P186">IFERROR(IF(ISNUMBER(FIND("กรุงเทพ",INDEX('Portfolio 3_2'!$O$3:$AK$101,'Portfolio 3_2'!$AO84,14))),"กรุงเทพมหานคร",INDEX('Portfolio 3_2'!$O$3:$AK$101,'Portfolio 3_2'!$AO83,14)),"")</f>
        <v/>
      </c>
      <c r="Q186" s="82" t="str" cm="1">
        <f t="array" ref="Q186">IFERROR(INDEX('Portfolio 3_2'!$O$3:$AK$101,'Portfolio 3_2'!$AO83,15),"")</f>
        <v/>
      </c>
      <c r="R186" s="82" t="str" cm="1">
        <f t="array" ref="R186">IFERROR(TEXT(INDEX('Portfolio 3_2'!$O$3:$AK$101,'Portfolio 3_2'!$AO83,16),"dd/mm/yyyy"),"")</f>
        <v/>
      </c>
      <c r="S186" s="82" t="str" cm="1">
        <f t="array" ref="S186">IFERROR(INDEX('Portfolio 3_2'!$O$3:$AK$101,'Portfolio 3_2'!$AO83,20),"")</f>
        <v/>
      </c>
      <c r="T186" s="82" t="str" cm="1">
        <f t="array" ref="T186">IFERROR(INDEX('Portfolio 3_2'!$O$3:$AK$101,'Portfolio 3_2'!$AO83,17),"")</f>
        <v/>
      </c>
      <c r="U186" s="82" t="str" cm="1">
        <f t="array" ref="U186">IFERROR(INDEX('Portfolio 3_2'!$O$3:$AK$101,'Portfolio 3_2'!$AO83,18),"")</f>
        <v/>
      </c>
      <c r="V186" s="82" t="str" cm="1">
        <f t="array" ref="V186">IFERROR(INDEX('Portfolio 3_2'!$O$3:$AK$101,'Portfolio 3_2'!$AO83,19),"")</f>
        <v/>
      </c>
      <c r="W186" s="1" t="str">
        <f t="shared" si="14"/>
        <v/>
      </c>
    </row>
    <row r="187" spans="1:23">
      <c r="A187" s="92" t="str">
        <f t="shared" si="11"/>
        <v/>
      </c>
      <c r="B187" s="82" t="str" cm="1">
        <f t="array" ref="B187">IFERROR(INDEX('Portfolio 3_2'!$O$3:$AK$101,'Portfolio 3_2'!$AO84,2),"")</f>
        <v/>
      </c>
      <c r="C187" s="1" t="str">
        <f t="shared" si="12"/>
        <v/>
      </c>
      <c r="D187" s="1" t="str">
        <f t="shared" si="13"/>
        <v/>
      </c>
      <c r="E187" s="82" t="str" cm="1">
        <f t="array" ref="E187">IFERROR(INDEX('Portfolio 3_2'!$O$3:$AK$101,'Portfolio 3_2'!$AO84,3),"")</f>
        <v/>
      </c>
      <c r="F187" s="82" t="str" cm="1">
        <f t="array" ref="F187">IFERROR(INDEX('Portfolio 3_2'!$O$3:$AK$101,'Portfolio 3_2'!$AO84,4),"")</f>
        <v/>
      </c>
      <c r="G187" s="82" t="str" cm="1">
        <f t="array" ref="G187">IFERROR(INDEX('Portfolio 3_2'!$O$3:$AK$101,'Portfolio 3_2'!$AO84,5),"")</f>
        <v/>
      </c>
      <c r="H187" s="82" t="str" cm="1">
        <f t="array" ref="H187">IFERROR(INDEX('Portfolio 3_2'!$O$3:$AK$101,'Portfolio 3_2'!$AO84,6),"")</f>
        <v/>
      </c>
      <c r="I187" s="82" t="str" cm="1">
        <f t="array" ref="I187">IFERROR(INDEX('Portfolio 3_2'!$O$3:$AK$101,'Portfolio 3_2'!$AO84,7),"")</f>
        <v/>
      </c>
      <c r="J187" s="82" t="str" cm="1">
        <f t="array" ref="J187">IFERROR(INDEX('Portfolio 3_2'!$O$3:$AK$101,'Portfolio 3_2'!$AO84,8),"")</f>
        <v/>
      </c>
      <c r="K187" s="82" t="str" cm="1">
        <f t="array" ref="K187">IFERROR(INDEX('Portfolio 3_2'!$O$3:$AK$101,'Portfolio 3_2'!$AO84,9),"")</f>
        <v/>
      </c>
      <c r="L187" s="82" t="str" cm="1">
        <f t="array" ref="L187">IFERROR(INDEX('Portfolio 3_2'!$O$3:$AK$101,'Portfolio 3_2'!$AO84,12),"")</f>
        <v/>
      </c>
      <c r="M187" s="82" t="str" cm="1">
        <f t="array" ref="M187">IFERROR(INDEX('Portfolio 3_2'!$O$3:$AK$101,'Portfolio 3_2'!$AO84,10),"")</f>
        <v/>
      </c>
      <c r="N187" s="82" t="str" cm="1">
        <f t="array" ref="N187">IFERROR(INDEX('Portfolio 3_2'!$O$3:$AK$101,'Portfolio 3_2'!$AO84,11),"")</f>
        <v/>
      </c>
      <c r="O187" s="82" t="str" cm="1">
        <f t="array" ref="O187">IFERROR(INDEX('Portfolio 3_2'!$O$3:$AK$101,'Portfolio 3_2'!$AO84,13),"")</f>
        <v/>
      </c>
      <c r="P187" s="82" t="str" cm="1">
        <f t="array" ref="P187">IFERROR(IF(ISNUMBER(FIND("กรุงเทพ",INDEX('Portfolio 3_2'!$O$3:$AK$101,'Portfolio 3_2'!$AO85,14))),"กรุงเทพมหานคร",INDEX('Portfolio 3_2'!$O$3:$AK$101,'Portfolio 3_2'!$AO84,14)),"")</f>
        <v/>
      </c>
      <c r="Q187" s="82" t="str" cm="1">
        <f t="array" ref="Q187">IFERROR(INDEX('Portfolio 3_2'!$O$3:$AK$101,'Portfolio 3_2'!$AO84,15),"")</f>
        <v/>
      </c>
      <c r="R187" s="82" t="str" cm="1">
        <f t="array" ref="R187">IFERROR(TEXT(INDEX('Portfolio 3_2'!$O$3:$AK$101,'Portfolio 3_2'!$AO84,16),"dd/mm/yyyy"),"")</f>
        <v/>
      </c>
      <c r="S187" s="82" t="str" cm="1">
        <f t="array" ref="S187">IFERROR(INDEX('Portfolio 3_2'!$O$3:$AK$101,'Portfolio 3_2'!$AO84,20),"")</f>
        <v/>
      </c>
      <c r="T187" s="82" t="str" cm="1">
        <f t="array" ref="T187">IFERROR(INDEX('Portfolio 3_2'!$O$3:$AK$101,'Portfolio 3_2'!$AO84,17),"")</f>
        <v/>
      </c>
      <c r="U187" s="82" t="str" cm="1">
        <f t="array" ref="U187">IFERROR(INDEX('Portfolio 3_2'!$O$3:$AK$101,'Portfolio 3_2'!$AO84,18),"")</f>
        <v/>
      </c>
      <c r="V187" s="82" t="str" cm="1">
        <f t="array" ref="V187">IFERROR(INDEX('Portfolio 3_2'!$O$3:$AK$101,'Portfolio 3_2'!$AO84,19),"")</f>
        <v/>
      </c>
      <c r="W187" s="1" t="str">
        <f t="shared" si="14"/>
        <v/>
      </c>
    </row>
    <row r="188" spans="1:23">
      <c r="A188" s="92" t="str">
        <f t="shared" si="11"/>
        <v/>
      </c>
      <c r="B188" s="82" t="str" cm="1">
        <f t="array" ref="B188">IFERROR(INDEX('Portfolio 3_2'!$O$3:$AK$101,'Portfolio 3_2'!$AO85,2),"")</f>
        <v/>
      </c>
      <c r="C188" s="1" t="str">
        <f t="shared" si="12"/>
        <v/>
      </c>
      <c r="D188" s="1" t="str">
        <f t="shared" si="13"/>
        <v/>
      </c>
      <c r="E188" s="82" t="str" cm="1">
        <f t="array" ref="E188">IFERROR(INDEX('Portfolio 3_2'!$O$3:$AK$101,'Portfolio 3_2'!$AO85,3),"")</f>
        <v/>
      </c>
      <c r="F188" s="82" t="str" cm="1">
        <f t="array" ref="F188">IFERROR(INDEX('Portfolio 3_2'!$O$3:$AK$101,'Portfolio 3_2'!$AO85,4),"")</f>
        <v/>
      </c>
      <c r="G188" s="82" t="str" cm="1">
        <f t="array" ref="G188">IFERROR(INDEX('Portfolio 3_2'!$O$3:$AK$101,'Portfolio 3_2'!$AO85,5),"")</f>
        <v/>
      </c>
      <c r="H188" s="82" t="str" cm="1">
        <f t="array" ref="H188">IFERROR(INDEX('Portfolio 3_2'!$O$3:$AK$101,'Portfolio 3_2'!$AO85,6),"")</f>
        <v/>
      </c>
      <c r="I188" s="82" t="str" cm="1">
        <f t="array" ref="I188">IFERROR(INDEX('Portfolio 3_2'!$O$3:$AK$101,'Portfolio 3_2'!$AO85,7),"")</f>
        <v/>
      </c>
      <c r="J188" s="82" t="str" cm="1">
        <f t="array" ref="J188">IFERROR(INDEX('Portfolio 3_2'!$O$3:$AK$101,'Portfolio 3_2'!$AO85,8),"")</f>
        <v/>
      </c>
      <c r="K188" s="82" t="str" cm="1">
        <f t="array" ref="K188">IFERROR(INDEX('Portfolio 3_2'!$O$3:$AK$101,'Portfolio 3_2'!$AO85,9),"")</f>
        <v/>
      </c>
      <c r="L188" s="82" t="str" cm="1">
        <f t="array" ref="L188">IFERROR(INDEX('Portfolio 3_2'!$O$3:$AK$101,'Portfolio 3_2'!$AO85,12),"")</f>
        <v/>
      </c>
      <c r="M188" s="82" t="str" cm="1">
        <f t="array" ref="M188">IFERROR(INDEX('Portfolio 3_2'!$O$3:$AK$101,'Portfolio 3_2'!$AO85,10),"")</f>
        <v/>
      </c>
      <c r="N188" s="82" t="str" cm="1">
        <f t="array" ref="N188">IFERROR(INDEX('Portfolio 3_2'!$O$3:$AK$101,'Portfolio 3_2'!$AO85,11),"")</f>
        <v/>
      </c>
      <c r="O188" s="82" t="str" cm="1">
        <f t="array" ref="O188">IFERROR(INDEX('Portfolio 3_2'!$O$3:$AK$101,'Portfolio 3_2'!$AO85,13),"")</f>
        <v/>
      </c>
      <c r="P188" s="82" t="str" cm="1">
        <f t="array" ref="P188">IFERROR(IF(ISNUMBER(FIND("กรุงเทพ",INDEX('Portfolio 3_2'!$O$3:$AK$101,'Portfolio 3_2'!$AO86,14))),"กรุงเทพมหานคร",INDEX('Portfolio 3_2'!$O$3:$AK$101,'Portfolio 3_2'!$AO85,14)),"")</f>
        <v/>
      </c>
      <c r="Q188" s="82" t="str" cm="1">
        <f t="array" ref="Q188">IFERROR(INDEX('Portfolio 3_2'!$O$3:$AK$101,'Portfolio 3_2'!$AO85,15),"")</f>
        <v/>
      </c>
      <c r="R188" s="82" t="str" cm="1">
        <f t="array" ref="R188">IFERROR(TEXT(INDEX('Portfolio 3_2'!$O$3:$AK$101,'Portfolio 3_2'!$AO85,16),"dd/mm/yyyy"),"")</f>
        <v/>
      </c>
      <c r="S188" s="82" t="str" cm="1">
        <f t="array" ref="S188">IFERROR(INDEX('Portfolio 3_2'!$O$3:$AK$101,'Portfolio 3_2'!$AO85,20),"")</f>
        <v/>
      </c>
      <c r="T188" s="82" t="str" cm="1">
        <f t="array" ref="T188">IFERROR(INDEX('Portfolio 3_2'!$O$3:$AK$101,'Portfolio 3_2'!$AO85,17),"")</f>
        <v/>
      </c>
      <c r="U188" s="82" t="str" cm="1">
        <f t="array" ref="U188">IFERROR(INDEX('Portfolio 3_2'!$O$3:$AK$101,'Portfolio 3_2'!$AO85,18),"")</f>
        <v/>
      </c>
      <c r="V188" s="82" t="str" cm="1">
        <f t="array" ref="V188">IFERROR(INDEX('Portfolio 3_2'!$O$3:$AK$101,'Portfolio 3_2'!$AO85,19),"")</f>
        <v/>
      </c>
      <c r="W188" s="1" t="str">
        <f t="shared" si="14"/>
        <v/>
      </c>
    </row>
    <row r="189" spans="1:23">
      <c r="A189" s="92" t="str">
        <f t="shared" si="11"/>
        <v/>
      </c>
      <c r="B189" s="82" t="str" cm="1">
        <f t="array" ref="B189">IFERROR(INDEX('Portfolio 3_2'!$O$3:$AK$101,'Portfolio 3_2'!$AO86,2),"")</f>
        <v/>
      </c>
      <c r="C189" s="1" t="str">
        <f t="shared" si="12"/>
        <v/>
      </c>
      <c r="D189" s="1" t="str">
        <f t="shared" si="13"/>
        <v/>
      </c>
      <c r="E189" s="82" t="str" cm="1">
        <f t="array" ref="E189">IFERROR(INDEX('Portfolio 3_2'!$O$3:$AK$101,'Portfolio 3_2'!$AO86,3),"")</f>
        <v/>
      </c>
      <c r="F189" s="82" t="str" cm="1">
        <f t="array" ref="F189">IFERROR(INDEX('Portfolio 3_2'!$O$3:$AK$101,'Portfolio 3_2'!$AO86,4),"")</f>
        <v/>
      </c>
      <c r="G189" s="82" t="str" cm="1">
        <f t="array" ref="G189">IFERROR(INDEX('Portfolio 3_2'!$O$3:$AK$101,'Portfolio 3_2'!$AO86,5),"")</f>
        <v/>
      </c>
      <c r="H189" s="82" t="str" cm="1">
        <f t="array" ref="H189">IFERROR(INDEX('Portfolio 3_2'!$O$3:$AK$101,'Portfolio 3_2'!$AO86,6),"")</f>
        <v/>
      </c>
      <c r="I189" s="82" t="str" cm="1">
        <f t="array" ref="I189">IFERROR(INDEX('Portfolio 3_2'!$O$3:$AK$101,'Portfolio 3_2'!$AO86,7),"")</f>
        <v/>
      </c>
      <c r="J189" s="82" t="str" cm="1">
        <f t="array" ref="J189">IFERROR(INDEX('Portfolio 3_2'!$O$3:$AK$101,'Portfolio 3_2'!$AO86,8),"")</f>
        <v/>
      </c>
      <c r="K189" s="82" t="str" cm="1">
        <f t="array" ref="K189">IFERROR(INDEX('Portfolio 3_2'!$O$3:$AK$101,'Portfolio 3_2'!$AO86,9),"")</f>
        <v/>
      </c>
      <c r="L189" s="82" t="str" cm="1">
        <f t="array" ref="L189">IFERROR(INDEX('Portfolio 3_2'!$O$3:$AK$101,'Portfolio 3_2'!$AO86,12),"")</f>
        <v/>
      </c>
      <c r="M189" s="82" t="str" cm="1">
        <f t="array" ref="M189">IFERROR(INDEX('Portfolio 3_2'!$O$3:$AK$101,'Portfolio 3_2'!$AO86,10),"")</f>
        <v/>
      </c>
      <c r="N189" s="82" t="str" cm="1">
        <f t="array" ref="N189">IFERROR(INDEX('Portfolio 3_2'!$O$3:$AK$101,'Portfolio 3_2'!$AO86,11),"")</f>
        <v/>
      </c>
      <c r="O189" s="82" t="str" cm="1">
        <f t="array" ref="O189">IFERROR(INDEX('Portfolio 3_2'!$O$3:$AK$101,'Portfolio 3_2'!$AO86,13),"")</f>
        <v/>
      </c>
      <c r="P189" s="82" t="str" cm="1">
        <f t="array" ref="P189">IFERROR(IF(ISNUMBER(FIND("กรุงเทพ",INDEX('Portfolio 3_2'!$O$3:$AK$101,'Portfolio 3_2'!$AO87,14))),"กรุงเทพมหานคร",INDEX('Portfolio 3_2'!$O$3:$AK$101,'Portfolio 3_2'!$AO86,14)),"")</f>
        <v/>
      </c>
      <c r="Q189" s="82" t="str" cm="1">
        <f t="array" ref="Q189">IFERROR(INDEX('Portfolio 3_2'!$O$3:$AK$101,'Portfolio 3_2'!$AO86,15),"")</f>
        <v/>
      </c>
      <c r="R189" s="82" t="str" cm="1">
        <f t="array" ref="R189">IFERROR(TEXT(INDEX('Portfolio 3_2'!$O$3:$AK$101,'Portfolio 3_2'!$AO86,16),"dd/mm/yyyy"),"")</f>
        <v/>
      </c>
      <c r="S189" s="82" t="str" cm="1">
        <f t="array" ref="S189">IFERROR(INDEX('Portfolio 3_2'!$O$3:$AK$101,'Portfolio 3_2'!$AO86,20),"")</f>
        <v/>
      </c>
      <c r="T189" s="82" t="str" cm="1">
        <f t="array" ref="T189">IFERROR(INDEX('Portfolio 3_2'!$O$3:$AK$101,'Portfolio 3_2'!$AO86,17),"")</f>
        <v/>
      </c>
      <c r="U189" s="82" t="str" cm="1">
        <f t="array" ref="U189">IFERROR(INDEX('Portfolio 3_2'!$O$3:$AK$101,'Portfolio 3_2'!$AO86,18),"")</f>
        <v/>
      </c>
      <c r="V189" s="82" t="str" cm="1">
        <f t="array" ref="V189">IFERROR(INDEX('Portfolio 3_2'!$O$3:$AK$101,'Portfolio 3_2'!$AO86,19),"")</f>
        <v/>
      </c>
      <c r="W189" s="1" t="str">
        <f t="shared" si="14"/>
        <v/>
      </c>
    </row>
    <row r="190" spans="1:23">
      <c r="A190" s="92" t="str">
        <f t="shared" si="11"/>
        <v/>
      </c>
      <c r="B190" s="82" t="str" cm="1">
        <f t="array" ref="B190">IFERROR(INDEX('Portfolio 3_2'!$O$3:$AK$101,'Portfolio 3_2'!$AO87,2),"")</f>
        <v/>
      </c>
      <c r="C190" s="1" t="str">
        <f t="shared" si="12"/>
        <v/>
      </c>
      <c r="D190" s="1" t="str">
        <f t="shared" si="13"/>
        <v/>
      </c>
      <c r="E190" s="82" t="str" cm="1">
        <f t="array" ref="E190">IFERROR(INDEX('Portfolio 3_2'!$O$3:$AK$101,'Portfolio 3_2'!$AO87,3),"")</f>
        <v/>
      </c>
      <c r="F190" s="82" t="str" cm="1">
        <f t="array" ref="F190">IFERROR(INDEX('Portfolio 3_2'!$O$3:$AK$101,'Portfolio 3_2'!$AO87,4),"")</f>
        <v/>
      </c>
      <c r="G190" s="82" t="str" cm="1">
        <f t="array" ref="G190">IFERROR(INDEX('Portfolio 3_2'!$O$3:$AK$101,'Portfolio 3_2'!$AO87,5),"")</f>
        <v/>
      </c>
      <c r="H190" s="82" t="str" cm="1">
        <f t="array" ref="H190">IFERROR(INDEX('Portfolio 3_2'!$O$3:$AK$101,'Portfolio 3_2'!$AO87,6),"")</f>
        <v/>
      </c>
      <c r="I190" s="82" t="str" cm="1">
        <f t="array" ref="I190">IFERROR(INDEX('Portfolio 3_2'!$O$3:$AK$101,'Portfolio 3_2'!$AO87,7),"")</f>
        <v/>
      </c>
      <c r="J190" s="82" t="str" cm="1">
        <f t="array" ref="J190">IFERROR(INDEX('Portfolio 3_2'!$O$3:$AK$101,'Portfolio 3_2'!$AO87,8),"")</f>
        <v/>
      </c>
      <c r="K190" s="82" t="str" cm="1">
        <f t="array" ref="K190">IFERROR(INDEX('Portfolio 3_2'!$O$3:$AK$101,'Portfolio 3_2'!$AO87,9),"")</f>
        <v/>
      </c>
      <c r="L190" s="82" t="str" cm="1">
        <f t="array" ref="L190">IFERROR(INDEX('Portfolio 3_2'!$O$3:$AK$101,'Portfolio 3_2'!$AO87,12),"")</f>
        <v/>
      </c>
      <c r="M190" s="82" t="str" cm="1">
        <f t="array" ref="M190">IFERROR(INDEX('Portfolio 3_2'!$O$3:$AK$101,'Portfolio 3_2'!$AO87,10),"")</f>
        <v/>
      </c>
      <c r="N190" s="82" t="str" cm="1">
        <f t="array" ref="N190">IFERROR(INDEX('Portfolio 3_2'!$O$3:$AK$101,'Portfolio 3_2'!$AO87,11),"")</f>
        <v/>
      </c>
      <c r="O190" s="82" t="str" cm="1">
        <f t="array" ref="O190">IFERROR(INDEX('Portfolio 3_2'!$O$3:$AK$101,'Portfolio 3_2'!$AO87,13),"")</f>
        <v/>
      </c>
      <c r="P190" s="82" t="str" cm="1">
        <f t="array" ref="P190">IFERROR(IF(ISNUMBER(FIND("กรุงเทพ",INDEX('Portfolio 3_2'!$O$3:$AK$101,'Portfolio 3_2'!$AO88,14))),"กรุงเทพมหานคร",INDEX('Portfolio 3_2'!$O$3:$AK$101,'Portfolio 3_2'!$AO87,14)),"")</f>
        <v/>
      </c>
      <c r="Q190" s="82" t="str" cm="1">
        <f t="array" ref="Q190">IFERROR(INDEX('Portfolio 3_2'!$O$3:$AK$101,'Portfolio 3_2'!$AO87,15),"")</f>
        <v/>
      </c>
      <c r="R190" s="82" t="str" cm="1">
        <f t="array" ref="R190">IFERROR(TEXT(INDEX('Portfolio 3_2'!$O$3:$AK$101,'Portfolio 3_2'!$AO87,16),"dd/mm/yyyy"),"")</f>
        <v/>
      </c>
      <c r="S190" s="82" t="str" cm="1">
        <f t="array" ref="S190">IFERROR(INDEX('Portfolio 3_2'!$O$3:$AK$101,'Portfolio 3_2'!$AO87,20),"")</f>
        <v/>
      </c>
      <c r="T190" s="82" t="str" cm="1">
        <f t="array" ref="T190">IFERROR(INDEX('Portfolio 3_2'!$O$3:$AK$101,'Portfolio 3_2'!$AO87,17),"")</f>
        <v/>
      </c>
      <c r="U190" s="82" t="str" cm="1">
        <f t="array" ref="U190">IFERROR(INDEX('Portfolio 3_2'!$O$3:$AK$101,'Portfolio 3_2'!$AO87,18),"")</f>
        <v/>
      </c>
      <c r="V190" s="82" t="str" cm="1">
        <f t="array" ref="V190">IFERROR(INDEX('Portfolio 3_2'!$O$3:$AK$101,'Portfolio 3_2'!$AO87,19),"")</f>
        <v/>
      </c>
      <c r="W190" s="1" t="str">
        <f t="shared" si="14"/>
        <v/>
      </c>
    </row>
    <row r="191" spans="1:23">
      <c r="A191" s="92" t="str">
        <f t="shared" si="11"/>
        <v/>
      </c>
      <c r="B191" s="82" t="str" cm="1">
        <f t="array" ref="B191">IFERROR(INDEX('Portfolio 3_2'!$O$3:$AK$101,'Portfolio 3_2'!$AO88,2),"")</f>
        <v/>
      </c>
      <c r="C191" s="1" t="str">
        <f t="shared" si="12"/>
        <v/>
      </c>
      <c r="D191" s="1" t="str">
        <f t="shared" si="13"/>
        <v/>
      </c>
      <c r="E191" s="82" t="str" cm="1">
        <f t="array" ref="E191">IFERROR(INDEX('Portfolio 3_2'!$O$3:$AK$101,'Portfolio 3_2'!$AO88,3),"")</f>
        <v/>
      </c>
      <c r="F191" s="82" t="str" cm="1">
        <f t="array" ref="F191">IFERROR(INDEX('Portfolio 3_2'!$O$3:$AK$101,'Portfolio 3_2'!$AO88,4),"")</f>
        <v/>
      </c>
      <c r="G191" s="82" t="str" cm="1">
        <f t="array" ref="G191">IFERROR(INDEX('Portfolio 3_2'!$O$3:$AK$101,'Portfolio 3_2'!$AO88,5),"")</f>
        <v/>
      </c>
      <c r="H191" s="82" t="str" cm="1">
        <f t="array" ref="H191">IFERROR(INDEX('Portfolio 3_2'!$O$3:$AK$101,'Portfolio 3_2'!$AO88,6),"")</f>
        <v/>
      </c>
      <c r="I191" s="82" t="str" cm="1">
        <f t="array" ref="I191">IFERROR(INDEX('Portfolio 3_2'!$O$3:$AK$101,'Portfolio 3_2'!$AO88,7),"")</f>
        <v/>
      </c>
      <c r="J191" s="82" t="str" cm="1">
        <f t="array" ref="J191">IFERROR(INDEX('Portfolio 3_2'!$O$3:$AK$101,'Portfolio 3_2'!$AO88,8),"")</f>
        <v/>
      </c>
      <c r="K191" s="82" t="str" cm="1">
        <f t="array" ref="K191">IFERROR(INDEX('Portfolio 3_2'!$O$3:$AK$101,'Portfolio 3_2'!$AO88,9),"")</f>
        <v/>
      </c>
      <c r="L191" s="82" t="str" cm="1">
        <f t="array" ref="L191">IFERROR(INDEX('Portfolio 3_2'!$O$3:$AK$101,'Portfolio 3_2'!$AO88,12),"")</f>
        <v/>
      </c>
      <c r="M191" s="82" t="str" cm="1">
        <f t="array" ref="M191">IFERROR(INDEX('Portfolio 3_2'!$O$3:$AK$101,'Portfolio 3_2'!$AO88,10),"")</f>
        <v/>
      </c>
      <c r="N191" s="82" t="str" cm="1">
        <f t="array" ref="N191">IFERROR(INDEX('Portfolio 3_2'!$O$3:$AK$101,'Portfolio 3_2'!$AO88,11),"")</f>
        <v/>
      </c>
      <c r="O191" s="82" t="str" cm="1">
        <f t="array" ref="O191">IFERROR(INDEX('Portfolio 3_2'!$O$3:$AK$101,'Portfolio 3_2'!$AO88,13),"")</f>
        <v/>
      </c>
      <c r="P191" s="82" t="str" cm="1">
        <f t="array" ref="P191">IFERROR(IF(ISNUMBER(FIND("กรุงเทพ",INDEX('Portfolio 3_2'!$O$3:$AK$101,'Portfolio 3_2'!$AO89,14))),"กรุงเทพมหานคร",INDEX('Portfolio 3_2'!$O$3:$AK$101,'Portfolio 3_2'!$AO88,14)),"")</f>
        <v/>
      </c>
      <c r="Q191" s="82" t="str" cm="1">
        <f t="array" ref="Q191">IFERROR(INDEX('Portfolio 3_2'!$O$3:$AK$101,'Portfolio 3_2'!$AO88,15),"")</f>
        <v/>
      </c>
      <c r="R191" s="82" t="str" cm="1">
        <f t="array" ref="R191">IFERROR(TEXT(INDEX('Portfolio 3_2'!$O$3:$AK$101,'Portfolio 3_2'!$AO88,16),"dd/mm/yyyy"),"")</f>
        <v/>
      </c>
      <c r="S191" s="82" t="str" cm="1">
        <f t="array" ref="S191">IFERROR(INDEX('Portfolio 3_2'!$O$3:$AK$101,'Portfolio 3_2'!$AO88,20),"")</f>
        <v/>
      </c>
      <c r="T191" s="82" t="str" cm="1">
        <f t="array" ref="T191">IFERROR(INDEX('Portfolio 3_2'!$O$3:$AK$101,'Portfolio 3_2'!$AO88,17),"")</f>
        <v/>
      </c>
      <c r="U191" s="82" t="str" cm="1">
        <f t="array" ref="U191">IFERROR(INDEX('Portfolio 3_2'!$O$3:$AK$101,'Portfolio 3_2'!$AO88,18),"")</f>
        <v/>
      </c>
      <c r="V191" s="82" t="str" cm="1">
        <f t="array" ref="V191">IFERROR(INDEX('Portfolio 3_2'!$O$3:$AK$101,'Portfolio 3_2'!$AO88,19),"")</f>
        <v/>
      </c>
      <c r="W191" s="1" t="str">
        <f t="shared" si="14"/>
        <v/>
      </c>
    </row>
    <row r="192" spans="1:23">
      <c r="A192" s="92" t="str">
        <f t="shared" si="11"/>
        <v/>
      </c>
      <c r="B192" s="82" t="str" cm="1">
        <f t="array" ref="B192">IFERROR(INDEX('Portfolio 3_2'!$O$3:$AK$101,'Portfolio 3_2'!$AO89,2),"")</f>
        <v/>
      </c>
      <c r="C192" s="1" t="str">
        <f t="shared" si="12"/>
        <v/>
      </c>
      <c r="D192" s="1" t="str">
        <f t="shared" si="13"/>
        <v/>
      </c>
      <c r="E192" s="82" t="str" cm="1">
        <f t="array" ref="E192">IFERROR(INDEX('Portfolio 3_2'!$O$3:$AK$101,'Portfolio 3_2'!$AO89,3),"")</f>
        <v/>
      </c>
      <c r="F192" s="82" t="str" cm="1">
        <f t="array" ref="F192">IFERROR(INDEX('Portfolio 3_2'!$O$3:$AK$101,'Portfolio 3_2'!$AO89,4),"")</f>
        <v/>
      </c>
      <c r="G192" s="82" t="str" cm="1">
        <f t="array" ref="G192">IFERROR(INDEX('Portfolio 3_2'!$O$3:$AK$101,'Portfolio 3_2'!$AO89,5),"")</f>
        <v/>
      </c>
      <c r="H192" s="82" t="str" cm="1">
        <f t="array" ref="H192">IFERROR(INDEX('Portfolio 3_2'!$O$3:$AK$101,'Portfolio 3_2'!$AO89,6),"")</f>
        <v/>
      </c>
      <c r="I192" s="82" t="str" cm="1">
        <f t="array" ref="I192">IFERROR(INDEX('Portfolio 3_2'!$O$3:$AK$101,'Portfolio 3_2'!$AO89,7),"")</f>
        <v/>
      </c>
      <c r="J192" s="82" t="str" cm="1">
        <f t="array" ref="J192">IFERROR(INDEX('Portfolio 3_2'!$O$3:$AK$101,'Portfolio 3_2'!$AO89,8),"")</f>
        <v/>
      </c>
      <c r="K192" s="82" t="str" cm="1">
        <f t="array" ref="K192">IFERROR(INDEX('Portfolio 3_2'!$O$3:$AK$101,'Portfolio 3_2'!$AO89,9),"")</f>
        <v/>
      </c>
      <c r="L192" s="82" t="str" cm="1">
        <f t="array" ref="L192">IFERROR(INDEX('Portfolio 3_2'!$O$3:$AK$101,'Portfolio 3_2'!$AO89,12),"")</f>
        <v/>
      </c>
      <c r="M192" s="82" t="str" cm="1">
        <f t="array" ref="M192">IFERROR(INDEX('Portfolio 3_2'!$O$3:$AK$101,'Portfolio 3_2'!$AO89,10),"")</f>
        <v/>
      </c>
      <c r="N192" s="82" t="str" cm="1">
        <f t="array" ref="N192">IFERROR(INDEX('Portfolio 3_2'!$O$3:$AK$101,'Portfolio 3_2'!$AO89,11),"")</f>
        <v/>
      </c>
      <c r="O192" s="82" t="str" cm="1">
        <f t="array" ref="O192">IFERROR(INDEX('Portfolio 3_2'!$O$3:$AK$101,'Portfolio 3_2'!$AO89,13),"")</f>
        <v/>
      </c>
      <c r="P192" s="82" t="str" cm="1">
        <f t="array" ref="P192">IFERROR(IF(ISNUMBER(FIND("กรุงเทพ",INDEX('Portfolio 3_2'!$O$3:$AK$101,'Portfolio 3_2'!$AO90,14))),"กรุงเทพมหานคร",INDEX('Portfolio 3_2'!$O$3:$AK$101,'Portfolio 3_2'!$AO89,14)),"")</f>
        <v/>
      </c>
      <c r="Q192" s="82" t="str" cm="1">
        <f t="array" ref="Q192">IFERROR(INDEX('Portfolio 3_2'!$O$3:$AK$101,'Portfolio 3_2'!$AO89,15),"")</f>
        <v/>
      </c>
      <c r="R192" s="82" t="str" cm="1">
        <f t="array" ref="R192">IFERROR(TEXT(INDEX('Portfolio 3_2'!$O$3:$AK$101,'Portfolio 3_2'!$AO89,16),"dd/mm/yyyy"),"")</f>
        <v/>
      </c>
      <c r="S192" s="82" t="str" cm="1">
        <f t="array" ref="S192">IFERROR(INDEX('Portfolio 3_2'!$O$3:$AK$101,'Portfolio 3_2'!$AO89,20),"")</f>
        <v/>
      </c>
      <c r="T192" s="82" t="str" cm="1">
        <f t="array" ref="T192">IFERROR(INDEX('Portfolio 3_2'!$O$3:$AK$101,'Portfolio 3_2'!$AO89,17),"")</f>
        <v/>
      </c>
      <c r="U192" s="82" t="str" cm="1">
        <f t="array" ref="U192">IFERROR(INDEX('Portfolio 3_2'!$O$3:$AK$101,'Portfolio 3_2'!$AO89,18),"")</f>
        <v/>
      </c>
      <c r="V192" s="82" t="str" cm="1">
        <f t="array" ref="V192">IFERROR(INDEX('Portfolio 3_2'!$O$3:$AK$101,'Portfolio 3_2'!$AO89,19),"")</f>
        <v/>
      </c>
      <c r="W192" s="1" t="str">
        <f t="shared" si="14"/>
        <v/>
      </c>
    </row>
    <row r="193" spans="1:23">
      <c r="A193" s="92" t="str">
        <f t="shared" si="11"/>
        <v/>
      </c>
      <c r="B193" s="82" t="str" cm="1">
        <f t="array" ref="B193">IFERROR(INDEX('Portfolio 3_2'!$O$3:$AK$101,'Portfolio 3_2'!$AO90,2),"")</f>
        <v/>
      </c>
      <c r="C193" s="1" t="str">
        <f t="shared" si="12"/>
        <v/>
      </c>
      <c r="D193" s="1" t="str">
        <f t="shared" si="13"/>
        <v/>
      </c>
      <c r="E193" s="82" t="str" cm="1">
        <f t="array" ref="E193">IFERROR(INDEX('Portfolio 3_2'!$O$3:$AK$101,'Portfolio 3_2'!$AO90,3),"")</f>
        <v/>
      </c>
      <c r="F193" s="82" t="str" cm="1">
        <f t="array" ref="F193">IFERROR(INDEX('Portfolio 3_2'!$O$3:$AK$101,'Portfolio 3_2'!$AO90,4),"")</f>
        <v/>
      </c>
      <c r="G193" s="82" t="str" cm="1">
        <f t="array" ref="G193">IFERROR(INDEX('Portfolio 3_2'!$O$3:$AK$101,'Portfolio 3_2'!$AO90,5),"")</f>
        <v/>
      </c>
      <c r="H193" s="82" t="str" cm="1">
        <f t="array" ref="H193">IFERROR(INDEX('Portfolio 3_2'!$O$3:$AK$101,'Portfolio 3_2'!$AO90,6),"")</f>
        <v/>
      </c>
      <c r="I193" s="82" t="str" cm="1">
        <f t="array" ref="I193">IFERROR(INDEX('Portfolio 3_2'!$O$3:$AK$101,'Portfolio 3_2'!$AO90,7),"")</f>
        <v/>
      </c>
      <c r="J193" s="82" t="str" cm="1">
        <f t="array" ref="J193">IFERROR(INDEX('Portfolio 3_2'!$O$3:$AK$101,'Portfolio 3_2'!$AO90,8),"")</f>
        <v/>
      </c>
      <c r="K193" s="82" t="str" cm="1">
        <f t="array" ref="K193">IFERROR(INDEX('Portfolio 3_2'!$O$3:$AK$101,'Portfolio 3_2'!$AO90,9),"")</f>
        <v/>
      </c>
      <c r="L193" s="82" t="str" cm="1">
        <f t="array" ref="L193">IFERROR(INDEX('Portfolio 3_2'!$O$3:$AK$101,'Portfolio 3_2'!$AO90,12),"")</f>
        <v/>
      </c>
      <c r="M193" s="82" t="str" cm="1">
        <f t="array" ref="M193">IFERROR(INDEX('Portfolio 3_2'!$O$3:$AK$101,'Portfolio 3_2'!$AO90,10),"")</f>
        <v/>
      </c>
      <c r="N193" s="82" t="str" cm="1">
        <f t="array" ref="N193">IFERROR(INDEX('Portfolio 3_2'!$O$3:$AK$101,'Portfolio 3_2'!$AO90,11),"")</f>
        <v/>
      </c>
      <c r="O193" s="82" t="str" cm="1">
        <f t="array" ref="O193">IFERROR(INDEX('Portfolio 3_2'!$O$3:$AK$101,'Portfolio 3_2'!$AO90,13),"")</f>
        <v/>
      </c>
      <c r="P193" s="82" t="str" cm="1">
        <f t="array" ref="P193">IFERROR(IF(ISNUMBER(FIND("กรุงเทพ",INDEX('Portfolio 3_2'!$O$3:$AK$101,'Portfolio 3_2'!$AO91,14))),"กรุงเทพมหานคร",INDEX('Portfolio 3_2'!$O$3:$AK$101,'Portfolio 3_2'!$AO90,14)),"")</f>
        <v/>
      </c>
      <c r="Q193" s="82" t="str" cm="1">
        <f t="array" ref="Q193">IFERROR(INDEX('Portfolio 3_2'!$O$3:$AK$101,'Portfolio 3_2'!$AO90,15),"")</f>
        <v/>
      </c>
      <c r="R193" s="82" t="str" cm="1">
        <f t="array" ref="R193">IFERROR(TEXT(INDEX('Portfolio 3_2'!$O$3:$AK$101,'Portfolio 3_2'!$AO90,16),"dd/mm/yyyy"),"")</f>
        <v/>
      </c>
      <c r="S193" s="82" t="str" cm="1">
        <f t="array" ref="S193">IFERROR(INDEX('Portfolio 3_2'!$O$3:$AK$101,'Portfolio 3_2'!$AO90,20),"")</f>
        <v/>
      </c>
      <c r="T193" s="82" t="str" cm="1">
        <f t="array" ref="T193">IFERROR(INDEX('Portfolio 3_2'!$O$3:$AK$101,'Portfolio 3_2'!$AO90,17),"")</f>
        <v/>
      </c>
      <c r="U193" s="82" t="str" cm="1">
        <f t="array" ref="U193">IFERROR(INDEX('Portfolio 3_2'!$O$3:$AK$101,'Portfolio 3_2'!$AO90,18),"")</f>
        <v/>
      </c>
      <c r="V193" s="82" t="str" cm="1">
        <f t="array" ref="V193">IFERROR(INDEX('Portfolio 3_2'!$O$3:$AK$101,'Portfolio 3_2'!$AO90,19),"")</f>
        <v/>
      </c>
      <c r="W193" s="1" t="str">
        <f t="shared" si="14"/>
        <v/>
      </c>
    </row>
    <row r="194" spans="1:23">
      <c r="A194" s="92" t="str">
        <f t="shared" si="11"/>
        <v/>
      </c>
      <c r="B194" s="82" t="str" cm="1">
        <f t="array" ref="B194">IFERROR(INDEX('Portfolio 3_2'!$O$3:$AK$101,'Portfolio 3_2'!$AO91,2),"")</f>
        <v/>
      </c>
      <c r="C194" s="1" t="str">
        <f t="shared" si="12"/>
        <v/>
      </c>
      <c r="D194" s="1" t="str">
        <f t="shared" si="13"/>
        <v/>
      </c>
      <c r="E194" s="82" t="str" cm="1">
        <f t="array" ref="E194">IFERROR(INDEX('Portfolio 3_2'!$O$3:$AK$101,'Portfolio 3_2'!$AO91,3),"")</f>
        <v/>
      </c>
      <c r="F194" s="82" t="str" cm="1">
        <f t="array" ref="F194">IFERROR(INDEX('Portfolio 3_2'!$O$3:$AK$101,'Portfolio 3_2'!$AO91,4),"")</f>
        <v/>
      </c>
      <c r="G194" s="82" t="str" cm="1">
        <f t="array" ref="G194">IFERROR(INDEX('Portfolio 3_2'!$O$3:$AK$101,'Portfolio 3_2'!$AO91,5),"")</f>
        <v/>
      </c>
      <c r="H194" s="82" t="str" cm="1">
        <f t="array" ref="H194">IFERROR(INDEX('Portfolio 3_2'!$O$3:$AK$101,'Portfolio 3_2'!$AO91,6),"")</f>
        <v/>
      </c>
      <c r="I194" s="82" t="str" cm="1">
        <f t="array" ref="I194">IFERROR(INDEX('Portfolio 3_2'!$O$3:$AK$101,'Portfolio 3_2'!$AO91,7),"")</f>
        <v/>
      </c>
      <c r="J194" s="82" t="str" cm="1">
        <f t="array" ref="J194">IFERROR(INDEX('Portfolio 3_2'!$O$3:$AK$101,'Portfolio 3_2'!$AO91,8),"")</f>
        <v/>
      </c>
      <c r="K194" s="82" t="str" cm="1">
        <f t="array" ref="K194">IFERROR(INDEX('Portfolio 3_2'!$O$3:$AK$101,'Portfolio 3_2'!$AO91,9),"")</f>
        <v/>
      </c>
      <c r="L194" s="82" t="str" cm="1">
        <f t="array" ref="L194">IFERROR(INDEX('Portfolio 3_2'!$O$3:$AK$101,'Portfolio 3_2'!$AO91,12),"")</f>
        <v/>
      </c>
      <c r="M194" s="82" t="str" cm="1">
        <f t="array" ref="M194">IFERROR(INDEX('Portfolio 3_2'!$O$3:$AK$101,'Portfolio 3_2'!$AO91,10),"")</f>
        <v/>
      </c>
      <c r="N194" s="82" t="str" cm="1">
        <f t="array" ref="N194">IFERROR(INDEX('Portfolio 3_2'!$O$3:$AK$101,'Portfolio 3_2'!$AO91,11),"")</f>
        <v/>
      </c>
      <c r="O194" s="82" t="str" cm="1">
        <f t="array" ref="O194">IFERROR(INDEX('Portfolio 3_2'!$O$3:$AK$101,'Portfolio 3_2'!$AO91,13),"")</f>
        <v/>
      </c>
      <c r="P194" s="82" t="str" cm="1">
        <f t="array" ref="P194">IFERROR(IF(ISNUMBER(FIND("กรุงเทพ",INDEX('Portfolio 3_2'!$O$3:$AK$101,'Portfolio 3_2'!$AO92,14))),"กรุงเทพมหานคร",INDEX('Portfolio 3_2'!$O$3:$AK$101,'Portfolio 3_2'!$AO91,14)),"")</f>
        <v/>
      </c>
      <c r="Q194" s="82" t="str" cm="1">
        <f t="array" ref="Q194">IFERROR(INDEX('Portfolio 3_2'!$O$3:$AK$101,'Portfolio 3_2'!$AO91,15),"")</f>
        <v/>
      </c>
      <c r="R194" s="82" t="str" cm="1">
        <f t="array" ref="R194">IFERROR(TEXT(INDEX('Portfolio 3_2'!$O$3:$AK$101,'Portfolio 3_2'!$AO91,16),"dd/mm/yyyy"),"")</f>
        <v/>
      </c>
      <c r="S194" s="82" t="str" cm="1">
        <f t="array" ref="S194">IFERROR(INDEX('Portfolio 3_2'!$O$3:$AK$101,'Portfolio 3_2'!$AO91,20),"")</f>
        <v/>
      </c>
      <c r="T194" s="82" t="str" cm="1">
        <f t="array" ref="T194">IFERROR(INDEX('Portfolio 3_2'!$O$3:$AK$101,'Portfolio 3_2'!$AO91,17),"")</f>
        <v/>
      </c>
      <c r="U194" s="82" t="str" cm="1">
        <f t="array" ref="U194">IFERROR(INDEX('Portfolio 3_2'!$O$3:$AK$101,'Portfolio 3_2'!$AO91,18),"")</f>
        <v/>
      </c>
      <c r="V194" s="82" t="str" cm="1">
        <f t="array" ref="V194">IFERROR(INDEX('Portfolio 3_2'!$O$3:$AK$101,'Portfolio 3_2'!$AO91,19),"")</f>
        <v/>
      </c>
      <c r="W194" s="1" t="str">
        <f t="shared" si="14"/>
        <v/>
      </c>
    </row>
    <row r="195" spans="1:23">
      <c r="A195" s="92" t="str">
        <f t="shared" si="11"/>
        <v/>
      </c>
      <c r="B195" s="82" t="str" cm="1">
        <f t="array" ref="B195">IFERROR(INDEX('Portfolio 3_2'!$O$3:$AK$101,'Portfolio 3_2'!$AO92,2),"")</f>
        <v/>
      </c>
      <c r="C195" s="1" t="str">
        <f t="shared" si="12"/>
        <v/>
      </c>
      <c r="D195" s="1" t="str">
        <f t="shared" si="13"/>
        <v/>
      </c>
      <c r="E195" s="82" t="str" cm="1">
        <f t="array" ref="E195">IFERROR(INDEX('Portfolio 3_2'!$O$3:$AK$101,'Portfolio 3_2'!$AO92,3),"")</f>
        <v/>
      </c>
      <c r="F195" s="82" t="str" cm="1">
        <f t="array" ref="F195">IFERROR(INDEX('Portfolio 3_2'!$O$3:$AK$101,'Portfolio 3_2'!$AO92,4),"")</f>
        <v/>
      </c>
      <c r="G195" s="82" t="str" cm="1">
        <f t="array" ref="G195">IFERROR(INDEX('Portfolio 3_2'!$O$3:$AK$101,'Portfolio 3_2'!$AO92,5),"")</f>
        <v/>
      </c>
      <c r="H195" s="82" t="str" cm="1">
        <f t="array" ref="H195">IFERROR(INDEX('Portfolio 3_2'!$O$3:$AK$101,'Portfolio 3_2'!$AO92,6),"")</f>
        <v/>
      </c>
      <c r="I195" s="82" t="str" cm="1">
        <f t="array" ref="I195">IFERROR(INDEX('Portfolio 3_2'!$O$3:$AK$101,'Portfolio 3_2'!$AO92,7),"")</f>
        <v/>
      </c>
      <c r="J195" s="82" t="str" cm="1">
        <f t="array" ref="J195">IFERROR(INDEX('Portfolio 3_2'!$O$3:$AK$101,'Portfolio 3_2'!$AO92,8),"")</f>
        <v/>
      </c>
      <c r="K195" s="82" t="str" cm="1">
        <f t="array" ref="K195">IFERROR(INDEX('Portfolio 3_2'!$O$3:$AK$101,'Portfolio 3_2'!$AO92,9),"")</f>
        <v/>
      </c>
      <c r="L195" s="82" t="str" cm="1">
        <f t="array" ref="L195">IFERROR(INDEX('Portfolio 3_2'!$O$3:$AK$101,'Portfolio 3_2'!$AO92,12),"")</f>
        <v/>
      </c>
      <c r="M195" s="82" t="str" cm="1">
        <f t="array" ref="M195">IFERROR(INDEX('Portfolio 3_2'!$O$3:$AK$101,'Portfolio 3_2'!$AO92,10),"")</f>
        <v/>
      </c>
      <c r="N195" s="82" t="str" cm="1">
        <f t="array" ref="N195">IFERROR(INDEX('Portfolio 3_2'!$O$3:$AK$101,'Portfolio 3_2'!$AO92,11),"")</f>
        <v/>
      </c>
      <c r="O195" s="82" t="str" cm="1">
        <f t="array" ref="O195">IFERROR(INDEX('Portfolio 3_2'!$O$3:$AK$101,'Portfolio 3_2'!$AO92,13),"")</f>
        <v/>
      </c>
      <c r="P195" s="82" t="str" cm="1">
        <f t="array" ref="P195">IFERROR(IF(ISNUMBER(FIND("กรุงเทพ",INDEX('Portfolio 3_2'!$O$3:$AK$101,'Portfolio 3_2'!$AO93,14))),"กรุงเทพมหานคร",INDEX('Portfolio 3_2'!$O$3:$AK$101,'Portfolio 3_2'!$AO92,14)),"")</f>
        <v/>
      </c>
      <c r="Q195" s="82" t="str" cm="1">
        <f t="array" ref="Q195">IFERROR(INDEX('Portfolio 3_2'!$O$3:$AK$101,'Portfolio 3_2'!$AO92,15),"")</f>
        <v/>
      </c>
      <c r="R195" s="82" t="str" cm="1">
        <f t="array" ref="R195">IFERROR(TEXT(INDEX('Portfolio 3_2'!$O$3:$AK$101,'Portfolio 3_2'!$AO92,16),"dd/mm/yyyy"),"")</f>
        <v/>
      </c>
      <c r="S195" s="82" t="str" cm="1">
        <f t="array" ref="S195">IFERROR(INDEX('Portfolio 3_2'!$O$3:$AK$101,'Portfolio 3_2'!$AO92,20),"")</f>
        <v/>
      </c>
      <c r="T195" s="82" t="str" cm="1">
        <f t="array" ref="T195">IFERROR(INDEX('Portfolio 3_2'!$O$3:$AK$101,'Portfolio 3_2'!$AO92,17),"")</f>
        <v/>
      </c>
      <c r="U195" s="82" t="str" cm="1">
        <f t="array" ref="U195">IFERROR(INDEX('Portfolio 3_2'!$O$3:$AK$101,'Portfolio 3_2'!$AO92,18),"")</f>
        <v/>
      </c>
      <c r="V195" s="82" t="str" cm="1">
        <f t="array" ref="V195">IFERROR(INDEX('Portfolio 3_2'!$O$3:$AK$101,'Portfolio 3_2'!$AO92,19),"")</f>
        <v/>
      </c>
      <c r="W195" s="1" t="str">
        <f t="shared" si="14"/>
        <v/>
      </c>
    </row>
    <row r="196" spans="1:23">
      <c r="A196" s="92" t="str">
        <f t="shared" si="11"/>
        <v/>
      </c>
      <c r="B196" s="82" t="str" cm="1">
        <f t="array" ref="B196">IFERROR(INDEX('Portfolio 3_2'!$O$3:$AK$101,'Portfolio 3_2'!$AO93,2),"")</f>
        <v/>
      </c>
      <c r="C196" s="1" t="str">
        <f t="shared" si="12"/>
        <v/>
      </c>
      <c r="D196" s="1" t="str">
        <f t="shared" si="13"/>
        <v/>
      </c>
      <c r="E196" s="82" t="str" cm="1">
        <f t="array" ref="E196">IFERROR(INDEX('Portfolio 3_2'!$O$3:$AK$101,'Portfolio 3_2'!$AO93,3),"")</f>
        <v/>
      </c>
      <c r="F196" s="82" t="str" cm="1">
        <f t="array" ref="F196">IFERROR(INDEX('Portfolio 3_2'!$O$3:$AK$101,'Portfolio 3_2'!$AO93,4),"")</f>
        <v/>
      </c>
      <c r="G196" s="82" t="str" cm="1">
        <f t="array" ref="G196">IFERROR(INDEX('Portfolio 3_2'!$O$3:$AK$101,'Portfolio 3_2'!$AO93,5),"")</f>
        <v/>
      </c>
      <c r="H196" s="82" t="str" cm="1">
        <f t="array" ref="H196">IFERROR(INDEX('Portfolio 3_2'!$O$3:$AK$101,'Portfolio 3_2'!$AO93,6),"")</f>
        <v/>
      </c>
      <c r="I196" s="82" t="str" cm="1">
        <f t="array" ref="I196">IFERROR(INDEX('Portfolio 3_2'!$O$3:$AK$101,'Portfolio 3_2'!$AO93,7),"")</f>
        <v/>
      </c>
      <c r="J196" s="82" t="str" cm="1">
        <f t="array" ref="J196">IFERROR(INDEX('Portfolio 3_2'!$O$3:$AK$101,'Portfolio 3_2'!$AO93,8),"")</f>
        <v/>
      </c>
      <c r="K196" s="82" t="str" cm="1">
        <f t="array" ref="K196">IFERROR(INDEX('Portfolio 3_2'!$O$3:$AK$101,'Portfolio 3_2'!$AO93,9),"")</f>
        <v/>
      </c>
      <c r="L196" s="82" t="str" cm="1">
        <f t="array" ref="L196">IFERROR(INDEX('Portfolio 3_2'!$O$3:$AK$101,'Portfolio 3_2'!$AO93,12),"")</f>
        <v/>
      </c>
      <c r="M196" s="82" t="str" cm="1">
        <f t="array" ref="M196">IFERROR(INDEX('Portfolio 3_2'!$O$3:$AK$101,'Portfolio 3_2'!$AO93,10),"")</f>
        <v/>
      </c>
      <c r="N196" s="82" t="str" cm="1">
        <f t="array" ref="N196">IFERROR(INDEX('Portfolio 3_2'!$O$3:$AK$101,'Portfolio 3_2'!$AO93,11),"")</f>
        <v/>
      </c>
      <c r="O196" s="82" t="str" cm="1">
        <f t="array" ref="O196">IFERROR(INDEX('Portfolio 3_2'!$O$3:$AK$101,'Portfolio 3_2'!$AO93,13),"")</f>
        <v/>
      </c>
      <c r="P196" s="82" t="str" cm="1">
        <f t="array" ref="P196">IFERROR(IF(ISNUMBER(FIND("กรุงเทพ",INDEX('Portfolio 3_2'!$O$3:$AK$101,'Portfolio 3_2'!$AO94,14))),"กรุงเทพมหานคร",INDEX('Portfolio 3_2'!$O$3:$AK$101,'Portfolio 3_2'!$AO93,14)),"")</f>
        <v/>
      </c>
      <c r="Q196" s="82" t="str" cm="1">
        <f t="array" ref="Q196">IFERROR(INDEX('Portfolio 3_2'!$O$3:$AK$101,'Portfolio 3_2'!$AO93,15),"")</f>
        <v/>
      </c>
      <c r="R196" s="82" t="str" cm="1">
        <f t="array" ref="R196">IFERROR(TEXT(INDEX('Portfolio 3_2'!$O$3:$AK$101,'Portfolio 3_2'!$AO93,16),"dd/mm/yyyy"),"")</f>
        <v/>
      </c>
      <c r="S196" s="82" t="str" cm="1">
        <f t="array" ref="S196">IFERROR(INDEX('Portfolio 3_2'!$O$3:$AK$101,'Portfolio 3_2'!$AO93,20),"")</f>
        <v/>
      </c>
      <c r="T196" s="82" t="str" cm="1">
        <f t="array" ref="T196">IFERROR(INDEX('Portfolio 3_2'!$O$3:$AK$101,'Portfolio 3_2'!$AO93,17),"")</f>
        <v/>
      </c>
      <c r="U196" s="82" t="str" cm="1">
        <f t="array" ref="U196">IFERROR(INDEX('Portfolio 3_2'!$O$3:$AK$101,'Portfolio 3_2'!$AO93,18),"")</f>
        <v/>
      </c>
      <c r="V196" s="82" t="str" cm="1">
        <f t="array" ref="V196">IFERROR(INDEX('Portfolio 3_2'!$O$3:$AK$101,'Portfolio 3_2'!$AO93,19),"")</f>
        <v/>
      </c>
      <c r="W196" s="1" t="str">
        <f t="shared" si="14"/>
        <v/>
      </c>
    </row>
    <row r="197" spans="1:23">
      <c r="A197" s="92" t="str">
        <f t="shared" si="11"/>
        <v/>
      </c>
      <c r="B197" s="82" t="str" cm="1">
        <f t="array" ref="B197">IFERROR(INDEX('Portfolio 3_2'!$O$3:$AK$101,'Portfolio 3_2'!$AO94,2),"")</f>
        <v/>
      </c>
      <c r="C197" s="1" t="str">
        <f t="shared" si="12"/>
        <v/>
      </c>
      <c r="D197" s="1" t="str">
        <f t="shared" si="13"/>
        <v/>
      </c>
      <c r="E197" s="82" t="str" cm="1">
        <f t="array" ref="E197">IFERROR(INDEX('Portfolio 3_2'!$O$3:$AK$101,'Portfolio 3_2'!$AO94,3),"")</f>
        <v/>
      </c>
      <c r="F197" s="82" t="str" cm="1">
        <f t="array" ref="F197">IFERROR(INDEX('Portfolio 3_2'!$O$3:$AK$101,'Portfolio 3_2'!$AO94,4),"")</f>
        <v/>
      </c>
      <c r="G197" s="82" t="str" cm="1">
        <f t="array" ref="G197">IFERROR(INDEX('Portfolio 3_2'!$O$3:$AK$101,'Portfolio 3_2'!$AO94,5),"")</f>
        <v/>
      </c>
      <c r="H197" s="82" t="str" cm="1">
        <f t="array" ref="H197">IFERROR(INDEX('Portfolio 3_2'!$O$3:$AK$101,'Portfolio 3_2'!$AO94,6),"")</f>
        <v/>
      </c>
      <c r="I197" s="82" t="str" cm="1">
        <f t="array" ref="I197">IFERROR(INDEX('Portfolio 3_2'!$O$3:$AK$101,'Portfolio 3_2'!$AO94,7),"")</f>
        <v/>
      </c>
      <c r="J197" s="82" t="str" cm="1">
        <f t="array" ref="J197">IFERROR(INDEX('Portfolio 3_2'!$O$3:$AK$101,'Portfolio 3_2'!$AO94,8),"")</f>
        <v/>
      </c>
      <c r="K197" s="82" t="str" cm="1">
        <f t="array" ref="K197">IFERROR(INDEX('Portfolio 3_2'!$O$3:$AK$101,'Portfolio 3_2'!$AO94,9),"")</f>
        <v/>
      </c>
      <c r="L197" s="82" t="str" cm="1">
        <f t="array" ref="L197">IFERROR(INDEX('Portfolio 3_2'!$O$3:$AK$101,'Portfolio 3_2'!$AO94,12),"")</f>
        <v/>
      </c>
      <c r="M197" s="82" t="str" cm="1">
        <f t="array" ref="M197">IFERROR(INDEX('Portfolio 3_2'!$O$3:$AK$101,'Portfolio 3_2'!$AO94,10),"")</f>
        <v/>
      </c>
      <c r="N197" s="82" t="str" cm="1">
        <f t="array" ref="N197">IFERROR(INDEX('Portfolio 3_2'!$O$3:$AK$101,'Portfolio 3_2'!$AO94,11),"")</f>
        <v/>
      </c>
      <c r="O197" s="82" t="str" cm="1">
        <f t="array" ref="O197">IFERROR(INDEX('Portfolio 3_2'!$O$3:$AK$101,'Portfolio 3_2'!$AO94,13),"")</f>
        <v/>
      </c>
      <c r="P197" s="82" t="str" cm="1">
        <f t="array" ref="P197">IFERROR(IF(ISNUMBER(FIND("กรุงเทพ",INDEX('Portfolio 3_2'!$O$3:$AK$101,'Portfolio 3_2'!$AO95,14))),"กรุงเทพมหานคร",INDEX('Portfolio 3_2'!$O$3:$AK$101,'Portfolio 3_2'!$AO94,14)),"")</f>
        <v/>
      </c>
      <c r="Q197" s="82" t="str" cm="1">
        <f t="array" ref="Q197">IFERROR(INDEX('Portfolio 3_2'!$O$3:$AK$101,'Portfolio 3_2'!$AO94,15),"")</f>
        <v/>
      </c>
      <c r="R197" s="82" t="str" cm="1">
        <f t="array" ref="R197">IFERROR(TEXT(INDEX('Portfolio 3_2'!$O$3:$AK$101,'Portfolio 3_2'!$AO94,16),"dd/mm/yyyy"),"")</f>
        <v/>
      </c>
      <c r="S197" s="82" t="str" cm="1">
        <f t="array" ref="S197">IFERROR(INDEX('Portfolio 3_2'!$O$3:$AK$101,'Portfolio 3_2'!$AO94,20),"")</f>
        <v/>
      </c>
      <c r="T197" s="82" t="str" cm="1">
        <f t="array" ref="T197">IFERROR(INDEX('Portfolio 3_2'!$O$3:$AK$101,'Portfolio 3_2'!$AO94,17),"")</f>
        <v/>
      </c>
      <c r="U197" s="82" t="str" cm="1">
        <f t="array" ref="U197">IFERROR(INDEX('Portfolio 3_2'!$O$3:$AK$101,'Portfolio 3_2'!$AO94,18),"")</f>
        <v/>
      </c>
      <c r="V197" s="82" t="str" cm="1">
        <f t="array" ref="V197">IFERROR(INDEX('Portfolio 3_2'!$O$3:$AK$101,'Portfolio 3_2'!$AO94,19),"")</f>
        <v/>
      </c>
      <c r="W197" s="1" t="str">
        <f t="shared" si="14"/>
        <v/>
      </c>
    </row>
    <row r="198" spans="1:23">
      <c r="A198" s="92" t="str">
        <f t="shared" si="11"/>
        <v/>
      </c>
      <c r="B198" s="82" t="str" cm="1">
        <f t="array" ref="B198">IFERROR(INDEX('Portfolio 3_2'!$O$3:$AK$101,'Portfolio 3_2'!$AO95,2),"")</f>
        <v/>
      </c>
      <c r="C198" s="1" t="str">
        <f t="shared" si="12"/>
        <v/>
      </c>
      <c r="D198" s="1" t="str">
        <f t="shared" si="13"/>
        <v/>
      </c>
      <c r="E198" s="82" t="str" cm="1">
        <f t="array" ref="E198">IFERROR(INDEX('Portfolio 3_2'!$O$3:$AK$101,'Portfolio 3_2'!$AO95,3),"")</f>
        <v/>
      </c>
      <c r="F198" s="82" t="str" cm="1">
        <f t="array" ref="F198">IFERROR(INDEX('Portfolio 3_2'!$O$3:$AK$101,'Portfolio 3_2'!$AO95,4),"")</f>
        <v/>
      </c>
      <c r="G198" s="82" t="str" cm="1">
        <f t="array" ref="G198">IFERROR(INDEX('Portfolio 3_2'!$O$3:$AK$101,'Portfolio 3_2'!$AO95,5),"")</f>
        <v/>
      </c>
      <c r="H198" s="82" t="str" cm="1">
        <f t="array" ref="H198">IFERROR(INDEX('Portfolio 3_2'!$O$3:$AK$101,'Portfolio 3_2'!$AO95,6),"")</f>
        <v/>
      </c>
      <c r="I198" s="82" t="str" cm="1">
        <f t="array" ref="I198">IFERROR(INDEX('Portfolio 3_2'!$O$3:$AK$101,'Portfolio 3_2'!$AO95,7),"")</f>
        <v/>
      </c>
      <c r="J198" s="82" t="str" cm="1">
        <f t="array" ref="J198">IFERROR(INDEX('Portfolio 3_2'!$O$3:$AK$101,'Portfolio 3_2'!$AO95,8),"")</f>
        <v/>
      </c>
      <c r="K198" s="82" t="str" cm="1">
        <f t="array" ref="K198">IFERROR(INDEX('Portfolio 3_2'!$O$3:$AK$101,'Portfolio 3_2'!$AO95,9),"")</f>
        <v/>
      </c>
      <c r="L198" s="82" t="str" cm="1">
        <f t="array" ref="L198">IFERROR(INDEX('Portfolio 3_2'!$O$3:$AK$101,'Portfolio 3_2'!$AO95,12),"")</f>
        <v/>
      </c>
      <c r="M198" s="82" t="str" cm="1">
        <f t="array" ref="M198">IFERROR(INDEX('Portfolio 3_2'!$O$3:$AK$101,'Portfolio 3_2'!$AO95,10),"")</f>
        <v/>
      </c>
      <c r="N198" s="82" t="str" cm="1">
        <f t="array" ref="N198">IFERROR(INDEX('Portfolio 3_2'!$O$3:$AK$101,'Portfolio 3_2'!$AO95,11),"")</f>
        <v/>
      </c>
      <c r="O198" s="82" t="str" cm="1">
        <f t="array" ref="O198">IFERROR(INDEX('Portfolio 3_2'!$O$3:$AK$101,'Portfolio 3_2'!$AO95,13),"")</f>
        <v/>
      </c>
      <c r="P198" s="82" t="str" cm="1">
        <f t="array" ref="P198">IFERROR(IF(ISNUMBER(FIND("กรุงเทพ",INDEX('Portfolio 3_2'!$O$3:$AK$101,'Portfolio 3_2'!$AO96,14))),"กรุงเทพมหานคร",INDEX('Portfolio 3_2'!$O$3:$AK$101,'Portfolio 3_2'!$AO95,14)),"")</f>
        <v/>
      </c>
      <c r="Q198" s="82" t="str" cm="1">
        <f t="array" ref="Q198">IFERROR(INDEX('Portfolio 3_2'!$O$3:$AK$101,'Portfolio 3_2'!$AO95,15),"")</f>
        <v/>
      </c>
      <c r="R198" s="82" t="str" cm="1">
        <f t="array" ref="R198">IFERROR(TEXT(INDEX('Portfolio 3_2'!$O$3:$AK$101,'Portfolio 3_2'!$AO95,16),"dd/mm/yyyy"),"")</f>
        <v/>
      </c>
      <c r="S198" s="82" t="str" cm="1">
        <f t="array" ref="S198">IFERROR(INDEX('Portfolio 3_2'!$O$3:$AK$101,'Portfolio 3_2'!$AO95,20),"")</f>
        <v/>
      </c>
      <c r="T198" s="82" t="str" cm="1">
        <f t="array" ref="T198">IFERROR(INDEX('Portfolio 3_2'!$O$3:$AK$101,'Portfolio 3_2'!$AO95,17),"")</f>
        <v/>
      </c>
      <c r="U198" s="82" t="str" cm="1">
        <f t="array" ref="U198">IFERROR(INDEX('Portfolio 3_2'!$O$3:$AK$101,'Portfolio 3_2'!$AO95,18),"")</f>
        <v/>
      </c>
      <c r="V198" s="82" t="str" cm="1">
        <f t="array" ref="V198">IFERROR(INDEX('Portfolio 3_2'!$O$3:$AK$101,'Portfolio 3_2'!$AO95,19),"")</f>
        <v/>
      </c>
      <c r="W198" s="1" t="str">
        <f t="shared" si="14"/>
        <v/>
      </c>
    </row>
    <row r="199" spans="1:23">
      <c r="A199" s="92" t="str">
        <f t="shared" si="11"/>
        <v/>
      </c>
      <c r="B199" s="82" t="str" cm="1">
        <f t="array" ref="B199">IFERROR(INDEX('Portfolio 3_2'!$O$3:$AK$101,'Portfolio 3_2'!$AO96,2),"")</f>
        <v/>
      </c>
      <c r="C199" s="1" t="str">
        <f t="shared" si="12"/>
        <v/>
      </c>
      <c r="D199" s="1" t="str">
        <f t="shared" si="13"/>
        <v/>
      </c>
      <c r="E199" s="82" t="str" cm="1">
        <f t="array" ref="E199">IFERROR(INDEX('Portfolio 3_2'!$O$3:$AK$101,'Portfolio 3_2'!$AO96,3),"")</f>
        <v/>
      </c>
      <c r="F199" s="82" t="str" cm="1">
        <f t="array" ref="F199">IFERROR(INDEX('Portfolio 3_2'!$O$3:$AK$101,'Portfolio 3_2'!$AO96,4),"")</f>
        <v/>
      </c>
      <c r="G199" s="82" t="str" cm="1">
        <f t="array" ref="G199">IFERROR(INDEX('Portfolio 3_2'!$O$3:$AK$101,'Portfolio 3_2'!$AO96,5),"")</f>
        <v/>
      </c>
      <c r="H199" s="82" t="str" cm="1">
        <f t="array" ref="H199">IFERROR(INDEX('Portfolio 3_2'!$O$3:$AK$101,'Portfolio 3_2'!$AO96,6),"")</f>
        <v/>
      </c>
      <c r="I199" s="82" t="str" cm="1">
        <f t="array" ref="I199">IFERROR(INDEX('Portfolio 3_2'!$O$3:$AK$101,'Portfolio 3_2'!$AO96,7),"")</f>
        <v/>
      </c>
      <c r="J199" s="82" t="str" cm="1">
        <f t="array" ref="J199">IFERROR(INDEX('Portfolio 3_2'!$O$3:$AK$101,'Portfolio 3_2'!$AO96,8),"")</f>
        <v/>
      </c>
      <c r="K199" s="82" t="str" cm="1">
        <f t="array" ref="K199">IFERROR(INDEX('Portfolio 3_2'!$O$3:$AK$101,'Portfolio 3_2'!$AO96,9),"")</f>
        <v/>
      </c>
      <c r="L199" s="82" t="str" cm="1">
        <f t="array" ref="L199">IFERROR(INDEX('Portfolio 3_2'!$O$3:$AK$101,'Portfolio 3_2'!$AO96,12),"")</f>
        <v/>
      </c>
      <c r="M199" s="82" t="str" cm="1">
        <f t="array" ref="M199">IFERROR(INDEX('Portfolio 3_2'!$O$3:$AK$101,'Portfolio 3_2'!$AO96,10),"")</f>
        <v/>
      </c>
      <c r="N199" s="82" t="str" cm="1">
        <f t="array" ref="N199">IFERROR(INDEX('Portfolio 3_2'!$O$3:$AK$101,'Portfolio 3_2'!$AO96,11),"")</f>
        <v/>
      </c>
      <c r="O199" s="82" t="str" cm="1">
        <f t="array" ref="O199">IFERROR(INDEX('Portfolio 3_2'!$O$3:$AK$101,'Portfolio 3_2'!$AO96,13),"")</f>
        <v/>
      </c>
      <c r="P199" s="82" t="str" cm="1">
        <f t="array" ref="P199">IFERROR(IF(ISNUMBER(FIND("กรุงเทพ",INDEX('Portfolio 3_2'!$O$3:$AK$101,'Portfolio 3_2'!$AO97,14))),"กรุงเทพมหานคร",INDEX('Portfolio 3_2'!$O$3:$AK$101,'Portfolio 3_2'!$AO96,14)),"")</f>
        <v/>
      </c>
      <c r="Q199" s="82" t="str" cm="1">
        <f t="array" ref="Q199">IFERROR(INDEX('Portfolio 3_2'!$O$3:$AK$101,'Portfolio 3_2'!$AO96,15),"")</f>
        <v/>
      </c>
      <c r="R199" s="82" t="str" cm="1">
        <f t="array" ref="R199">IFERROR(TEXT(INDEX('Portfolio 3_2'!$O$3:$AK$101,'Portfolio 3_2'!$AO96,16),"dd/mm/yyyy"),"")</f>
        <v/>
      </c>
      <c r="S199" s="82" t="str" cm="1">
        <f t="array" ref="S199">IFERROR(INDEX('Portfolio 3_2'!$O$3:$AK$101,'Portfolio 3_2'!$AO96,20),"")</f>
        <v/>
      </c>
      <c r="T199" s="82" t="str" cm="1">
        <f t="array" ref="T199">IFERROR(INDEX('Portfolio 3_2'!$O$3:$AK$101,'Portfolio 3_2'!$AO96,17),"")</f>
        <v/>
      </c>
      <c r="U199" s="82" t="str" cm="1">
        <f t="array" ref="U199">IFERROR(INDEX('Portfolio 3_2'!$O$3:$AK$101,'Portfolio 3_2'!$AO96,18),"")</f>
        <v/>
      </c>
      <c r="V199" s="82" t="str" cm="1">
        <f t="array" ref="V199">IFERROR(INDEX('Portfolio 3_2'!$O$3:$AK$101,'Portfolio 3_2'!$AO96,19),"")</f>
        <v/>
      </c>
      <c r="W199" s="1" t="str">
        <f t="shared" si="14"/>
        <v/>
      </c>
    </row>
    <row r="200" spans="1:23">
      <c r="A200" s="92" t="str">
        <f t="shared" si="11"/>
        <v/>
      </c>
      <c r="B200" s="82" t="str" cm="1">
        <f t="array" ref="B200">IFERROR(INDEX('Portfolio 3_2'!$O$3:$AK$101,'Portfolio 3_2'!$AO97,2),"")</f>
        <v/>
      </c>
      <c r="C200" s="1" t="str">
        <f t="shared" si="12"/>
        <v/>
      </c>
      <c r="D200" s="1" t="str">
        <f t="shared" si="13"/>
        <v/>
      </c>
      <c r="E200" s="82" t="str" cm="1">
        <f t="array" ref="E200">IFERROR(INDEX('Portfolio 3_2'!$O$3:$AK$101,'Portfolio 3_2'!$AO97,3),"")</f>
        <v/>
      </c>
      <c r="F200" s="82" t="str" cm="1">
        <f t="array" ref="F200">IFERROR(INDEX('Portfolio 3_2'!$O$3:$AK$101,'Portfolio 3_2'!$AO97,4),"")</f>
        <v/>
      </c>
      <c r="G200" s="82" t="str" cm="1">
        <f t="array" ref="G200">IFERROR(INDEX('Portfolio 3_2'!$O$3:$AK$101,'Portfolio 3_2'!$AO97,5),"")</f>
        <v/>
      </c>
      <c r="H200" s="82" t="str" cm="1">
        <f t="array" ref="H200">IFERROR(INDEX('Portfolio 3_2'!$O$3:$AK$101,'Portfolio 3_2'!$AO97,6),"")</f>
        <v/>
      </c>
      <c r="I200" s="82" t="str" cm="1">
        <f t="array" ref="I200">IFERROR(INDEX('Portfolio 3_2'!$O$3:$AK$101,'Portfolio 3_2'!$AO97,7),"")</f>
        <v/>
      </c>
      <c r="J200" s="82" t="str" cm="1">
        <f t="array" ref="J200">IFERROR(INDEX('Portfolio 3_2'!$O$3:$AK$101,'Portfolio 3_2'!$AO97,8),"")</f>
        <v/>
      </c>
      <c r="K200" s="82" t="str" cm="1">
        <f t="array" ref="K200">IFERROR(INDEX('Portfolio 3_2'!$O$3:$AK$101,'Portfolio 3_2'!$AO97,9),"")</f>
        <v/>
      </c>
      <c r="L200" s="82" t="str" cm="1">
        <f t="array" ref="L200">IFERROR(INDEX('Portfolio 3_2'!$O$3:$AK$101,'Portfolio 3_2'!$AO97,12),"")</f>
        <v/>
      </c>
      <c r="M200" s="82" t="str" cm="1">
        <f t="array" ref="M200">IFERROR(INDEX('Portfolio 3_2'!$O$3:$AK$101,'Portfolio 3_2'!$AO97,10),"")</f>
        <v/>
      </c>
      <c r="N200" s="82" t="str" cm="1">
        <f t="array" ref="N200">IFERROR(INDEX('Portfolio 3_2'!$O$3:$AK$101,'Portfolio 3_2'!$AO97,11),"")</f>
        <v/>
      </c>
      <c r="O200" s="82" t="str" cm="1">
        <f t="array" ref="O200">IFERROR(INDEX('Portfolio 3_2'!$O$3:$AK$101,'Portfolio 3_2'!$AO97,13),"")</f>
        <v/>
      </c>
      <c r="P200" s="82" t="str" cm="1">
        <f t="array" ref="P200">IFERROR(IF(ISNUMBER(FIND("กรุงเทพ",INDEX('Portfolio 3_2'!$O$3:$AK$101,'Portfolio 3_2'!$AO98,14))),"กรุงเทพมหานคร",INDEX('Portfolio 3_2'!$O$3:$AK$101,'Portfolio 3_2'!$AO97,14)),"")</f>
        <v/>
      </c>
      <c r="Q200" s="82" t="str" cm="1">
        <f t="array" ref="Q200">IFERROR(INDEX('Portfolio 3_2'!$O$3:$AK$101,'Portfolio 3_2'!$AO97,15),"")</f>
        <v/>
      </c>
      <c r="R200" s="82" t="str" cm="1">
        <f t="array" ref="R200">IFERROR(TEXT(INDEX('Portfolio 3_2'!$O$3:$AK$101,'Portfolio 3_2'!$AO97,16),"dd/mm/yyyy"),"")</f>
        <v/>
      </c>
      <c r="S200" s="82" t="str" cm="1">
        <f t="array" ref="S200">IFERROR(INDEX('Portfolio 3_2'!$O$3:$AK$101,'Portfolio 3_2'!$AO97,20),"")</f>
        <v/>
      </c>
      <c r="T200" s="82" t="str" cm="1">
        <f t="array" ref="T200">IFERROR(INDEX('Portfolio 3_2'!$O$3:$AK$101,'Portfolio 3_2'!$AO97,17),"")</f>
        <v/>
      </c>
      <c r="U200" s="82" t="str" cm="1">
        <f t="array" ref="U200">IFERROR(INDEX('Portfolio 3_2'!$O$3:$AK$101,'Portfolio 3_2'!$AO97,18),"")</f>
        <v/>
      </c>
      <c r="V200" s="82" t="str" cm="1">
        <f t="array" ref="V200">IFERROR(INDEX('Portfolio 3_2'!$O$3:$AK$101,'Portfolio 3_2'!$AO97,19),"")</f>
        <v/>
      </c>
      <c r="W200" s="1" t="str">
        <f t="shared" si="14"/>
        <v/>
      </c>
    </row>
    <row r="201" spans="1:23">
      <c r="A201" s="92" t="str">
        <f t="shared" si="11"/>
        <v/>
      </c>
      <c r="B201" s="82" t="str" cm="1">
        <f t="array" ref="B201">IFERROR(INDEX('Portfolio 3_2'!$O$3:$AK$101,'Portfolio 3_2'!$AO98,2),"")</f>
        <v/>
      </c>
      <c r="C201" s="1" t="str">
        <f t="shared" si="12"/>
        <v/>
      </c>
      <c r="D201" s="1" t="str">
        <f t="shared" si="13"/>
        <v/>
      </c>
      <c r="E201" s="82" t="str" cm="1">
        <f t="array" ref="E201">IFERROR(INDEX('Portfolio 3_2'!$O$3:$AK$101,'Portfolio 3_2'!$AO98,3),"")</f>
        <v/>
      </c>
      <c r="F201" s="82" t="str" cm="1">
        <f t="array" ref="F201">IFERROR(INDEX('Portfolio 3_2'!$O$3:$AK$101,'Portfolio 3_2'!$AO98,4),"")</f>
        <v/>
      </c>
      <c r="G201" s="82" t="str" cm="1">
        <f t="array" ref="G201">IFERROR(INDEX('Portfolio 3_2'!$O$3:$AK$101,'Portfolio 3_2'!$AO98,5),"")</f>
        <v/>
      </c>
      <c r="H201" s="82" t="str" cm="1">
        <f t="array" ref="H201">IFERROR(INDEX('Portfolio 3_2'!$O$3:$AK$101,'Portfolio 3_2'!$AO98,6),"")</f>
        <v/>
      </c>
      <c r="I201" s="82" t="str" cm="1">
        <f t="array" ref="I201">IFERROR(INDEX('Portfolio 3_2'!$O$3:$AK$101,'Portfolio 3_2'!$AO98,7),"")</f>
        <v/>
      </c>
      <c r="J201" s="82" t="str" cm="1">
        <f t="array" ref="J201">IFERROR(INDEX('Portfolio 3_2'!$O$3:$AK$101,'Portfolio 3_2'!$AO98,8),"")</f>
        <v/>
      </c>
      <c r="K201" s="82" t="str" cm="1">
        <f t="array" ref="K201">IFERROR(INDEX('Portfolio 3_2'!$O$3:$AK$101,'Portfolio 3_2'!$AO98,9),"")</f>
        <v/>
      </c>
      <c r="L201" s="82" t="str" cm="1">
        <f t="array" ref="L201">IFERROR(INDEX('Portfolio 3_2'!$O$3:$AK$101,'Portfolio 3_2'!$AO98,12),"")</f>
        <v/>
      </c>
      <c r="M201" s="82" t="str" cm="1">
        <f t="array" ref="M201">IFERROR(INDEX('Portfolio 3_2'!$O$3:$AK$101,'Portfolio 3_2'!$AO98,10),"")</f>
        <v/>
      </c>
      <c r="N201" s="82" t="str" cm="1">
        <f t="array" ref="N201">IFERROR(INDEX('Portfolio 3_2'!$O$3:$AK$101,'Portfolio 3_2'!$AO98,11),"")</f>
        <v/>
      </c>
      <c r="O201" s="82" t="str" cm="1">
        <f t="array" ref="O201">IFERROR(INDEX('Portfolio 3_2'!$O$3:$AK$101,'Portfolio 3_2'!$AO98,13),"")</f>
        <v/>
      </c>
      <c r="P201" s="82" t="str" cm="1">
        <f t="array" ref="P201">IFERROR(IF(ISNUMBER(FIND("กรุงเทพ",INDEX('Portfolio 3_2'!$O$3:$AK$101,'Portfolio 3_2'!$AO99,14))),"กรุงเทพมหานคร",INDEX('Portfolio 3_2'!$O$3:$AK$101,'Portfolio 3_2'!$AO98,14)),"")</f>
        <v/>
      </c>
      <c r="Q201" s="82" t="str" cm="1">
        <f t="array" ref="Q201">IFERROR(INDEX('Portfolio 3_2'!$O$3:$AK$101,'Portfolio 3_2'!$AO98,15),"")</f>
        <v/>
      </c>
      <c r="R201" s="82" t="str" cm="1">
        <f t="array" ref="R201">IFERROR(TEXT(INDEX('Portfolio 3_2'!$O$3:$AK$101,'Portfolio 3_2'!$AO98,16),"dd/mm/yyyy"),"")</f>
        <v/>
      </c>
      <c r="S201" s="82" t="str" cm="1">
        <f t="array" ref="S201">IFERROR(INDEX('Portfolio 3_2'!$O$3:$AK$101,'Portfolio 3_2'!$AO98,20),"")</f>
        <v/>
      </c>
      <c r="T201" s="82" t="str" cm="1">
        <f t="array" ref="T201">IFERROR(INDEX('Portfolio 3_2'!$O$3:$AK$101,'Portfolio 3_2'!$AO98,17),"")</f>
        <v/>
      </c>
      <c r="U201" s="82" t="str" cm="1">
        <f t="array" ref="U201">IFERROR(INDEX('Portfolio 3_2'!$O$3:$AK$101,'Portfolio 3_2'!$AO98,18),"")</f>
        <v/>
      </c>
      <c r="V201" s="82" t="str" cm="1">
        <f t="array" ref="V201">IFERROR(INDEX('Portfolio 3_2'!$O$3:$AK$101,'Portfolio 3_2'!$AO98,19),"")</f>
        <v/>
      </c>
      <c r="W201" s="1" t="str">
        <f t="shared" si="14"/>
        <v/>
      </c>
    </row>
    <row r="202" spans="1:23">
      <c r="A202" s="92" t="str">
        <f t="shared" si="11"/>
        <v/>
      </c>
      <c r="B202" s="82" t="str" cm="1">
        <f t="array" ref="B202">IFERROR(INDEX('Portfolio 3_2'!$O$3:$AK$101,'Portfolio 3_2'!$AO99,2),"")</f>
        <v/>
      </c>
      <c r="C202" s="1" t="str">
        <f t="shared" si="12"/>
        <v/>
      </c>
      <c r="D202" s="1" t="str">
        <f t="shared" si="13"/>
        <v/>
      </c>
      <c r="E202" s="82" t="str" cm="1">
        <f t="array" ref="E202">IFERROR(INDEX('Portfolio 3_2'!$O$3:$AK$101,'Portfolio 3_2'!$AO99,3),"")</f>
        <v/>
      </c>
      <c r="F202" s="82" t="str" cm="1">
        <f t="array" ref="F202">IFERROR(INDEX('Portfolio 3_2'!$O$3:$AK$101,'Portfolio 3_2'!$AO99,4),"")</f>
        <v/>
      </c>
      <c r="G202" s="82" t="str" cm="1">
        <f t="array" ref="G202">IFERROR(INDEX('Portfolio 3_2'!$O$3:$AK$101,'Portfolio 3_2'!$AO99,5),"")</f>
        <v/>
      </c>
      <c r="H202" s="82" t="str" cm="1">
        <f t="array" ref="H202">IFERROR(INDEX('Portfolio 3_2'!$O$3:$AK$101,'Portfolio 3_2'!$AO99,6),"")</f>
        <v/>
      </c>
      <c r="I202" s="82" t="str" cm="1">
        <f t="array" ref="I202">IFERROR(INDEX('Portfolio 3_2'!$O$3:$AK$101,'Portfolio 3_2'!$AO99,7),"")</f>
        <v/>
      </c>
      <c r="J202" s="82" t="str" cm="1">
        <f t="array" ref="J202">IFERROR(INDEX('Portfolio 3_2'!$O$3:$AK$101,'Portfolio 3_2'!$AO99,8),"")</f>
        <v/>
      </c>
      <c r="K202" s="82" t="str" cm="1">
        <f t="array" ref="K202">IFERROR(INDEX('Portfolio 3_2'!$O$3:$AK$101,'Portfolio 3_2'!$AO99,9),"")</f>
        <v/>
      </c>
      <c r="L202" s="82" t="str" cm="1">
        <f t="array" ref="L202">IFERROR(INDEX('Portfolio 3_2'!$O$3:$AK$101,'Portfolio 3_2'!$AO99,12),"")</f>
        <v/>
      </c>
      <c r="M202" s="82" t="str" cm="1">
        <f t="array" ref="M202">IFERROR(INDEX('Portfolio 3_2'!$O$3:$AK$101,'Portfolio 3_2'!$AO99,10),"")</f>
        <v/>
      </c>
      <c r="N202" s="82" t="str" cm="1">
        <f t="array" ref="N202">IFERROR(INDEX('Portfolio 3_2'!$O$3:$AK$101,'Portfolio 3_2'!$AO99,11),"")</f>
        <v/>
      </c>
      <c r="O202" s="82" t="str" cm="1">
        <f t="array" ref="O202">IFERROR(INDEX('Portfolio 3_2'!$O$3:$AK$101,'Portfolio 3_2'!$AO99,13),"")</f>
        <v/>
      </c>
      <c r="P202" s="82" t="str" cm="1">
        <f t="array" ref="P202">IFERROR(IF(ISNUMBER(FIND("กรุงเทพ",INDEX('Portfolio 3_2'!$O$3:$AK$101,'Portfolio 3_2'!$AO100,14))),"กรุงเทพมหานคร",INDEX('Portfolio 3_2'!$O$3:$AK$101,'Portfolio 3_2'!$AO99,14)),"")</f>
        <v/>
      </c>
      <c r="Q202" s="82" t="str" cm="1">
        <f t="array" ref="Q202">IFERROR(INDEX('Portfolio 3_2'!$O$3:$AK$101,'Portfolio 3_2'!$AO99,15),"")</f>
        <v/>
      </c>
      <c r="R202" s="82" t="str" cm="1">
        <f t="array" ref="R202">IFERROR(TEXT(INDEX('Portfolio 3_2'!$O$3:$AK$101,'Portfolio 3_2'!$AO99,16),"dd/mm/yyyy"),"")</f>
        <v/>
      </c>
      <c r="S202" s="82" t="str" cm="1">
        <f t="array" ref="S202">IFERROR(INDEX('Portfolio 3_2'!$O$3:$AK$101,'Portfolio 3_2'!$AO99,20),"")</f>
        <v/>
      </c>
      <c r="T202" s="82" t="str" cm="1">
        <f t="array" ref="T202">IFERROR(INDEX('Portfolio 3_2'!$O$3:$AK$101,'Portfolio 3_2'!$AO99,17),"")</f>
        <v/>
      </c>
      <c r="U202" s="82" t="str" cm="1">
        <f t="array" ref="U202">IFERROR(INDEX('Portfolio 3_2'!$O$3:$AK$101,'Portfolio 3_2'!$AO99,18),"")</f>
        <v/>
      </c>
      <c r="V202" s="82" t="str" cm="1">
        <f t="array" ref="V202">IFERROR(INDEX('Portfolio 3_2'!$O$3:$AK$101,'Portfolio 3_2'!$AO99,19),"")</f>
        <v/>
      </c>
      <c r="W202" s="1" t="str">
        <f t="shared" si="14"/>
        <v/>
      </c>
    </row>
    <row r="203" spans="1:23">
      <c r="A203" s="92" t="str">
        <f t="shared" ref="A203" si="15">IF(B203="","",A202+1)</f>
        <v/>
      </c>
      <c r="B203" s="82" t="str" cm="1">
        <f t="array" ref="B203">IFERROR(INDEX('Portfolio 3_2'!$O$3:$AK$101,'Portfolio 3_2'!$AO100,2),"")</f>
        <v/>
      </c>
      <c r="C203" s="1" t="str">
        <f t="shared" si="12"/>
        <v/>
      </c>
      <c r="D203" s="1" t="str">
        <f t="shared" si="13"/>
        <v/>
      </c>
      <c r="E203" s="82" t="str" cm="1">
        <f t="array" ref="E203">IFERROR(INDEX('Portfolio 3_2'!$O$3:$AK$101,'Portfolio 3_2'!$AO100,3),"")</f>
        <v/>
      </c>
      <c r="F203" s="82" t="str" cm="1">
        <f t="array" ref="F203">IFERROR(INDEX('Portfolio 3_2'!$O$3:$AK$101,'Portfolio 3_2'!$AO100,4),"")</f>
        <v/>
      </c>
      <c r="G203" s="82" t="str" cm="1">
        <f t="array" ref="G203">IFERROR(INDEX('Portfolio 3_2'!$O$3:$AK$101,'Portfolio 3_2'!$AO100,5),"")</f>
        <v/>
      </c>
      <c r="H203" s="82" t="str" cm="1">
        <f t="array" ref="H203">IFERROR(INDEX('Portfolio 3_2'!$O$3:$AK$101,'Portfolio 3_2'!$AO100,6),"")</f>
        <v/>
      </c>
      <c r="I203" s="82" t="str" cm="1">
        <f t="array" ref="I203">IFERROR(INDEX('Portfolio 3_2'!$O$3:$AK$101,'Portfolio 3_2'!$AO100,7),"")</f>
        <v/>
      </c>
      <c r="J203" s="82" t="str" cm="1">
        <f t="array" ref="J203">IFERROR(INDEX('Portfolio 3_2'!$O$3:$AK$101,'Portfolio 3_2'!$AO100,8),"")</f>
        <v/>
      </c>
      <c r="K203" s="82" t="str" cm="1">
        <f t="array" ref="K203">IFERROR(INDEX('Portfolio 3_2'!$O$3:$AK$101,'Portfolio 3_2'!$AO100,9),"")</f>
        <v/>
      </c>
      <c r="L203" s="82" t="str" cm="1">
        <f t="array" ref="L203">IFERROR(INDEX('Portfolio 3_2'!$O$3:$AK$101,'Portfolio 3_2'!$AO100,12),"")</f>
        <v/>
      </c>
      <c r="M203" s="82" t="str" cm="1">
        <f t="array" ref="M203">IFERROR(INDEX('Portfolio 3_2'!$O$3:$AK$101,'Portfolio 3_2'!$AO100,10),"")</f>
        <v/>
      </c>
      <c r="N203" s="82" t="str" cm="1">
        <f t="array" ref="N203">IFERROR(INDEX('Portfolio 3_2'!$O$3:$AK$101,'Portfolio 3_2'!$AO100,11),"")</f>
        <v/>
      </c>
      <c r="O203" s="82" t="str" cm="1">
        <f t="array" ref="O203">IFERROR(INDEX('Portfolio 3_2'!$O$3:$AK$101,'Portfolio 3_2'!$AO100,13),"")</f>
        <v/>
      </c>
      <c r="P203" s="82" t="str" cm="1">
        <f t="array" ref="P203">IFERROR(IF(ISNUMBER(FIND("กรุงเทพ",INDEX('Portfolio 3_2'!$O$3:$AK$101,'Portfolio 3_2'!$AO101,14))),"กรุงเทพมหานคร",INDEX('Portfolio 3_2'!$O$3:$AK$101,'Portfolio 3_2'!$AO100,14)),"")</f>
        <v/>
      </c>
      <c r="Q203" s="82" t="str" cm="1">
        <f t="array" ref="Q203">IFERROR(INDEX('Portfolio 3_2'!$O$3:$AK$101,'Portfolio 3_2'!$AO100,15),"")</f>
        <v/>
      </c>
      <c r="R203" s="82" t="str" cm="1">
        <f t="array" ref="R203">IFERROR(TEXT(INDEX('Portfolio 3_2'!$O$3:$AK$101,'Portfolio 3_2'!$AO100,16),"dd/mm/yyyy"),"")</f>
        <v/>
      </c>
      <c r="S203" s="82" t="str" cm="1">
        <f t="array" ref="S203">IFERROR(INDEX('Portfolio 3_2'!$O$3:$AK$101,'Portfolio 3_2'!$AO100,20),"")</f>
        <v/>
      </c>
      <c r="T203" s="82" t="str" cm="1">
        <f t="array" ref="T203">IFERROR(INDEX('Portfolio 3_2'!$O$3:$AK$101,'Portfolio 3_2'!$AO100,17),"")</f>
        <v/>
      </c>
      <c r="U203" s="82" t="str" cm="1">
        <f t="array" ref="U203">IFERROR(INDEX('Portfolio 3_2'!$O$3:$AK$101,'Portfolio 3_2'!$AO100,18),"")</f>
        <v/>
      </c>
      <c r="V203" s="82" t="str" cm="1">
        <f t="array" ref="V203">IFERROR(INDEX('Portfolio 3_2'!$O$3:$AK$101,'Portfolio 3_2'!$AO100,19),"")</f>
        <v/>
      </c>
      <c r="W203" s="1" t="str">
        <f t="shared" si="14"/>
        <v/>
      </c>
    </row>
  </sheetData>
  <conditionalFormatting sqref="H4:H70">
    <cfRule type="expression" dxfId="9" priority="9">
      <formula>LEN(H4)&gt;3</formula>
    </cfRule>
  </conditionalFormatting>
  <conditionalFormatting sqref="H5:H70">
    <cfRule type="expression" dxfId="8" priority="8">
      <formula>LEN(H5)&gt;3</formula>
    </cfRule>
  </conditionalFormatting>
  <conditionalFormatting sqref="H7">
    <cfRule type="expression" dxfId="7" priority="7">
      <formula>LEN(H7)&gt;3</formula>
    </cfRule>
  </conditionalFormatting>
  <conditionalFormatting sqref="H71:H101">
    <cfRule type="expression" dxfId="6" priority="6">
      <formula>LEN(H71)&gt;3</formula>
    </cfRule>
  </conditionalFormatting>
  <conditionalFormatting sqref="H71:H101">
    <cfRule type="expression" dxfId="5" priority="5">
      <formula>LEN(H71)&gt;3</formula>
    </cfRule>
  </conditionalFormatting>
  <conditionalFormatting sqref="H106:H203">
    <cfRule type="expression" dxfId="4" priority="4">
      <formula>LEN(H106)&gt;30</formula>
    </cfRule>
  </conditionalFormatting>
  <conditionalFormatting sqref="H107">
    <cfRule type="expression" dxfId="3" priority="3">
      <formula>LEN(H107)&gt;30</formula>
    </cfRule>
  </conditionalFormatting>
  <conditionalFormatting sqref="H162:H203">
    <cfRule type="expression" dxfId="2" priority="1">
      <formula>LEN(H162)&gt;30</formula>
    </cfRule>
  </conditionalFormatting>
  <conditionalFormatting sqref="H108:H161">
    <cfRule type="expression" dxfId="1" priority="2">
      <formula>LEN(H108)&gt;30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07" r:id="rId3" name="Button 43">
              <controlPr defaultSize="0" print="0" autoFill="0" autoPict="0" macro="[0]!ExportWhttoText53">
                <anchor moveWithCells="1" sizeWithCells="1">
                  <from>
                    <xdr:col>1</xdr:col>
                    <xdr:colOff>0</xdr:colOff>
                    <xdr:row>103</xdr:row>
                    <xdr:rowOff>0</xdr:rowOff>
                  </from>
                  <to>
                    <xdr:col>2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4" name="Button 44">
              <controlPr defaultSize="0" print="0" autoFill="0" autoPict="0" macro="[0]!ExportWhttoText03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0290E-294E-4B62-9585-932410302DD0}">
  <sheetPr codeName="Sheet8"/>
  <dimension ref="A1:AP268"/>
  <sheetViews>
    <sheetView zoomScale="115" zoomScaleNormal="115" workbookViewId="0">
      <selection activeCell="C1" sqref="C1"/>
    </sheetView>
    <sheetView workbookViewId="1">
      <selection activeCell="A2" sqref="A2"/>
    </sheetView>
  </sheetViews>
  <sheetFormatPr defaultColWidth="8.42578125" defaultRowHeight="15"/>
  <cols>
    <col min="1" max="1" width="12.42578125" customWidth="1"/>
    <col min="2" max="2" width="9" bestFit="1" customWidth="1"/>
    <col min="3" max="3" width="50" bestFit="1" customWidth="1"/>
    <col min="4" max="4" width="74" bestFit="1" customWidth="1"/>
    <col min="5" max="5" width="15.85546875" bestFit="1" customWidth="1"/>
    <col min="6" max="6" width="9.7109375" bestFit="1" customWidth="1"/>
    <col min="7" max="7" width="12.42578125" bestFit="1" customWidth="1"/>
    <col min="8" max="8" width="12.42578125" style="93" bestFit="1" customWidth="1"/>
    <col min="9" max="9" width="12.5703125" bestFit="1" customWidth="1"/>
    <col min="10" max="10" width="12.140625" bestFit="1" customWidth="1"/>
    <col min="11" max="11" width="10.7109375" bestFit="1" customWidth="1"/>
    <col min="12" max="12" width="7.140625" bestFit="1" customWidth="1"/>
    <col min="13" max="13" width="18.7109375" bestFit="1" customWidth="1"/>
    <col min="14" max="14" width="81.5703125" bestFit="1" customWidth="1"/>
    <col min="15" max="15" width="10.140625" bestFit="1" customWidth="1"/>
    <col min="16" max="16" width="16.85546875" bestFit="1" customWidth="1"/>
    <col min="17" max="17" width="41.5703125" bestFit="1" customWidth="1"/>
    <col min="18" max="18" width="11.85546875" bestFit="1" customWidth="1"/>
    <col min="19" max="19" width="9.7109375" bestFit="1" customWidth="1"/>
    <col min="20" max="20" width="8.5703125" bestFit="1" customWidth="1"/>
    <col min="21" max="21" width="10.7109375" bestFit="1" customWidth="1"/>
    <col min="22" max="22" width="8.5703125" bestFit="1" customWidth="1"/>
    <col min="23" max="23" width="10.140625" bestFit="1" customWidth="1"/>
    <col min="24" max="24" width="21" bestFit="1" customWidth="1"/>
    <col min="25" max="25" width="10.5703125" bestFit="1" customWidth="1"/>
    <col min="26" max="26" width="9.7109375" bestFit="1" customWidth="1"/>
    <col min="27" max="27" width="9.140625" bestFit="1" customWidth="1"/>
    <col min="28" max="28" width="16.140625" bestFit="1" customWidth="1"/>
    <col min="29" max="29" width="17.42578125" bestFit="1" customWidth="1"/>
    <col min="30" max="30" width="15.5703125" bestFit="1" customWidth="1"/>
    <col min="31" max="31" width="14.140625" bestFit="1" customWidth="1"/>
    <col min="32" max="32" width="15.28515625" bestFit="1" customWidth="1"/>
    <col min="33" max="33" width="10.140625" bestFit="1" customWidth="1"/>
    <col min="34" max="34" width="12.42578125" bestFit="1" customWidth="1"/>
    <col min="35" max="35" width="10.7109375" bestFit="1" customWidth="1"/>
    <col min="36" max="36" width="13.85546875" bestFit="1" customWidth="1"/>
    <col min="37" max="37" width="14.85546875" bestFit="1" customWidth="1"/>
    <col min="38" max="38" width="11" bestFit="1" customWidth="1"/>
    <col min="39" max="39" width="12.140625" bestFit="1" customWidth="1"/>
    <col min="40" max="40" width="13.140625" bestFit="1" customWidth="1"/>
    <col min="41" max="41" width="12.5703125" bestFit="1" customWidth="1"/>
    <col min="42" max="42" width="11.5703125" bestFit="1" customWidth="1"/>
    <col min="43" max="43" width="9.5703125" bestFit="1" customWidth="1"/>
    <col min="44" max="44" width="12.28515625" bestFit="1" customWidth="1"/>
    <col min="45" max="45" width="10.42578125" bestFit="1" customWidth="1"/>
    <col min="46" max="46" width="13.85546875" bestFit="1" customWidth="1"/>
    <col min="47" max="47" width="9.28515625" bestFit="1" customWidth="1"/>
    <col min="48" max="48" width="3" bestFit="1" customWidth="1"/>
    <col min="49" max="49" width="6.85546875" bestFit="1" customWidth="1"/>
    <col min="50" max="50" width="7.85546875" bestFit="1" customWidth="1"/>
    <col min="51" max="51" width="7.42578125" bestFit="1" customWidth="1"/>
    <col min="52" max="52" width="6.42578125" bestFit="1" customWidth="1"/>
  </cols>
  <sheetData>
    <row r="1" spans="1:42" ht="27.75" customHeight="1">
      <c r="A1" s="121" t="s">
        <v>282</v>
      </c>
      <c r="N1" s="119" t="s">
        <v>146</v>
      </c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</row>
    <row r="2" spans="1:42" ht="21">
      <c r="A2" s="86" t="s">
        <v>0</v>
      </c>
      <c r="B2" s="86" t="s">
        <v>1</v>
      </c>
      <c r="C2" s="86" t="s">
        <v>2</v>
      </c>
      <c r="D2" s="86" t="s">
        <v>3</v>
      </c>
      <c r="E2" s="86" t="s">
        <v>4</v>
      </c>
      <c r="F2" s="87" t="s">
        <v>5</v>
      </c>
      <c r="G2" s="87" t="s">
        <v>6</v>
      </c>
      <c r="H2" s="93" t="s">
        <v>7</v>
      </c>
      <c r="I2" s="88" t="s">
        <v>8</v>
      </c>
      <c r="J2" s="89" t="s">
        <v>9</v>
      </c>
      <c r="K2" s="88" t="s">
        <v>10</v>
      </c>
      <c r="N2" s="96" t="s">
        <v>156</v>
      </c>
      <c r="O2" s="96" t="s">
        <v>5</v>
      </c>
      <c r="P2" s="96" t="s">
        <v>123</v>
      </c>
      <c r="Q2" s="96" t="s">
        <v>124</v>
      </c>
      <c r="R2" s="96" t="s">
        <v>125</v>
      </c>
      <c r="S2" s="96" t="s">
        <v>126</v>
      </c>
      <c r="T2" s="96" t="s">
        <v>122</v>
      </c>
      <c r="U2" s="96" t="s">
        <v>127</v>
      </c>
      <c r="V2" s="96" t="s">
        <v>128</v>
      </c>
      <c r="W2" s="96" t="s">
        <v>129</v>
      </c>
      <c r="X2" s="96" t="s">
        <v>130</v>
      </c>
      <c r="Y2" s="96" t="s">
        <v>131</v>
      </c>
      <c r="Z2" s="96" t="s">
        <v>132</v>
      </c>
      <c r="AA2" s="96" t="s">
        <v>133</v>
      </c>
      <c r="AB2" s="96" t="s">
        <v>134</v>
      </c>
      <c r="AC2" s="96" t="s">
        <v>135</v>
      </c>
      <c r="AD2" s="96" t="s">
        <v>136</v>
      </c>
      <c r="AE2" s="96" t="s">
        <v>137</v>
      </c>
      <c r="AF2" s="96" t="s">
        <v>138</v>
      </c>
      <c r="AG2" s="96" t="s">
        <v>139</v>
      </c>
      <c r="AH2" s="96" t="s">
        <v>140</v>
      </c>
      <c r="AI2" s="96" t="s">
        <v>124</v>
      </c>
      <c r="AJ2" s="96" t="s">
        <v>141</v>
      </c>
      <c r="AK2" s="96" t="s">
        <v>142</v>
      </c>
      <c r="AL2" s="96" t="s">
        <v>151</v>
      </c>
      <c r="AM2" s="96" t="s">
        <v>147</v>
      </c>
      <c r="AN2" s="96" t="s">
        <v>148</v>
      </c>
      <c r="AO2" s="96" t="s">
        <v>149</v>
      </c>
      <c r="AP2" s="96" t="s">
        <v>150</v>
      </c>
    </row>
    <row r="3" spans="1:42" ht="21.75">
      <c r="A3" s="82">
        <v>1</v>
      </c>
      <c r="B3" s="82">
        <v>2101001</v>
      </c>
      <c r="C3" s="82" t="s">
        <v>229</v>
      </c>
      <c r="D3" s="82" t="s">
        <v>74</v>
      </c>
      <c r="E3" s="80" t="s">
        <v>163</v>
      </c>
      <c r="F3" s="82">
        <v>53</v>
      </c>
      <c r="G3" s="82" t="s">
        <v>11</v>
      </c>
      <c r="H3" s="93">
        <v>44133</v>
      </c>
      <c r="I3" s="82">
        <v>29127</v>
      </c>
      <c r="J3" s="82">
        <v>0.03</v>
      </c>
      <c r="K3" s="82">
        <v>873.81</v>
      </c>
      <c r="N3" s="8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3,"ซ.","ซอย"),"หมู่ที่","หมู่"),"ซอย ","ซอย"),"ถ.","ถนน"),"ต.","ตำบล"),"อ.","อำเภอ"),"No.",""),"No. ",""),"หมู่บ้าน","แหล่ง"),"Soi  ","Soi "),"Moo..","Moo"),"Moo.","Moo"),"Rd.","Road "),"Road","Road "),"Moo","Moo "),"Moo  ","Moo "),"จังหวัด",""),"ถนน.","ถนน"),"จ.",""),"เลขที่ ",""),"  "," "),"กทม.","กรุงเทพ"),"ซอย ","ซอย+"),"ชั้นที่","ชั้น"),"หมู่","หมู่ "),"หมู่  ","หมู่ "),"ตำบล","แขวง"),"อำเภอ","เขต")</f>
        <v>5/2 หมู่ 4 แขวงพยุหะ เขตพยุหะคีรี นครสวรรค์ 12345</v>
      </c>
      <c r="O3" s="82">
        <f t="shared" ref="O3:O34" si="0">IF(ISBLANK(F3)=TRUE,"",F3)</f>
        <v>53</v>
      </c>
      <c r="P3" s="82" t="str">
        <f t="shared" ref="P3:P34" si="1">SUBSTITUTE(E3," ","")</f>
        <v>04500XXX09416</v>
      </c>
      <c r="Q3" s="82" t="str">
        <f t="shared" ref="Q3:Q34" si="2">SUBSTITUTE(SUBSTITUTE(SUBSTITUTE(SUBSTITUTE(SUBSTITUTE(SUBSTITUTE(SUBSTITUTE(SUBSTITUTE(SUBSTITUTE(SUBSTITUTE(C3," ",""),"บริษัท",""),"จำกัด",""),"(HeadOffice)",""),"Limited",""),"Co.,Ltd.",""),"PublicCompany",""),"สำนักงานใหญ่",""),"มหาชน",""),"()","")</f>
        <v>ตัวอย่าง34</v>
      </c>
      <c r="R3" s="82" t="str">
        <f t="shared" ref="R3:R34" si="3">IF(ISNUMBER(FIND(R$2,$D3)),MID($N3,(FIND(R$2,$D3))+5,FIND(" ",$N3,(FIND(R$2,$D3)))-(FIND(R$2,$D3)+5)),"")</f>
        <v/>
      </c>
      <c r="S3" s="82" t="str">
        <f t="shared" ref="S3:S34" si="4">IFERROR(MID($N3,FIND(" ",$N3,FIND(S$2,$N3)),FIND(" ",$N3,FIND(" ",$N3,FIND(S$2,$N3))+1)-(FIND(" ",$N3,FIND(S$2,$N3))))*1,"")</f>
        <v/>
      </c>
      <c r="T3" s="82" t="str">
        <f t="shared" ref="T3:T34" si="5">IFERROR(MID($N3,FIND(" ",$N3,FIND(T$2,$N3)),(FIND(" ",$N3,FIND(" ",$N3,FIND(T$2,$N3))+1)-FIND(" ",$N3,FIND(T$2,$N3)))),"")</f>
        <v/>
      </c>
      <c r="U3" s="82" t="str">
        <f t="shared" ref="U3:U34" si="6">IFERROR(LEFT(N3,(FIND(" ",N3))-1),"")</f>
        <v>5/2</v>
      </c>
      <c r="V3" s="82" t="str">
        <f t="shared" ref="V3:V34" si="7">IF(ISNUMBER(FIND($V$2,$N3))=TRUE,MID($N3,FIND(V$2,$N3)+1+(FIND(" ",$N3,FIND(V$2,$N3))-FIND(V$2,$N3)),(FIND(" ",$N3,FIND(" ",$N3,FIND(V$2,$N3))+1)-FIND(" ",$N3,FIND(V$2,$N3)))-1),"")</f>
        <v>4</v>
      </c>
      <c r="W3" s="82" t="str">
        <f t="shared" ref="W3:W34" si="8">IF(ISNUMBER(FIND(W$2,$N3))=TRUE,IFERROR(MID($N3,FIND(W$2,$N3)+3,(FIND(" ",$N3,FIND(W$2,$N3))-FIND(W$2,$N3))-3),""),"")</f>
        <v/>
      </c>
      <c r="X3" s="82" t="str">
        <f t="shared" ref="X3:X34" si="9">IFERROR(MID($N3,FIND(X$2,$N3)+3,(FIND(" ",$N3,FIND(X$2,$N3))-FIND(X$2,$N3))-3),"")</f>
        <v/>
      </c>
      <c r="Y3" s="82" t="str">
        <f t="shared" ref="Y3:Y34" si="10">IF(ISNUMBER(FIND($Y$2,$N3))=TRUE,IFERROR(MID($N3,FIND(Y$2,$N3)+4,(FIND(" ",$N3,FIND(Y$2,$N3))-FIND(Y$2,$N3))-4),""),"")</f>
        <v>พยุหะ</v>
      </c>
      <c r="Z3" s="82" t="str">
        <f t="shared" ref="Z3:Z34" si="11">IFERROR(MID($N3,FIND(Z$2,$N3)+3,(FIND(" ",$N3,FIND(" ",$N3,FIND(Z$2,$N3))+1))-FIND(" ",$N3,FIND(Z$2,$N3))),"")</f>
        <v/>
      </c>
      <c r="AA3" s="82" t="str">
        <f t="shared" ref="AA3:AA34" si="12">IF(ISNUMBER(FIND($AA$2,$N3))=TRUE,IFERROR(MID($N3,FIND(AA$2,$N3)+3,(FIND(" ",$N3,FIND(AA$2,$N3))-FIND(AA$2,$N3))-3),""),"")</f>
        <v>พยุหะคีรี</v>
      </c>
      <c r="AB3" s="82" t="str">
        <f t="shared" ref="AB3:AB34" si="13">IFERROR(SUBSTITUTE(LEFT(RIGHT(N3,(LEN(N3)-FIND("*",SUBSTITUTE(N3," ","*",LEN(N3)-LEN(SUBSTITUTE(N3," ",""))-1)))),FIND(" ",RIGHT(N3,(LEN(N3)-FIND("*",SUBSTITUTE(N3," ","*",LEN(N3)-LEN(SUBSTITUTE(N3," ",""))-1))))))," ",""),"")</f>
        <v>นครสวรรค์</v>
      </c>
      <c r="AC3" s="82" t="str">
        <f t="shared" ref="AC3:AC34" si="14">RIGHT(N3,5)</f>
        <v>12345</v>
      </c>
      <c r="AD3" s="85">
        <f t="shared" ref="AD3:AD34" si="15">IF(ISBLANK(H3)=TRUE,"",DATE(YEAR(H3)+543,MONTH(H3),DAY(H3)))</f>
        <v>242459</v>
      </c>
      <c r="AE3" s="82">
        <f t="shared" ref="AE3:AE34" si="16">IF(ISBLANK(J3)=TRUE,"",J3*100)</f>
        <v>3</v>
      </c>
      <c r="AF3" s="83">
        <f t="shared" ref="AF3:AF34" si="17">IF(ISBLANK(I3)=TRUE,"",I3)</f>
        <v>29127</v>
      </c>
      <c r="AG3" s="83">
        <f t="shared" ref="AG3:AG34" si="18">IF(ISBLANK(K3)=TRUE,"",K3)</f>
        <v>873.81</v>
      </c>
      <c r="AH3" s="82" t="str">
        <f t="shared" ref="AH3:AH34" si="19">IF(ISBLANK(G3)=TRUE,"",G3)</f>
        <v>ค่าบริการ</v>
      </c>
      <c r="AI3" s="82" t="str">
        <f t="shared" ref="AI3:AI34" si="20">IF(O3=3,MID(C3,FIND(" ",C3)+1,FIND(" ",C3,FIND(" ",C3)+1)-FIND(" ",C3)-1),"")</f>
        <v/>
      </c>
      <c r="AJ3" s="82" t="str">
        <f t="shared" ref="AJ3:AJ34" si="21">IFERROR(IF(O3=3,RIGHT(C3,LEN(C3)-FIND(" ",C3,FIND(" ",C3)+1)),""),"")</f>
        <v/>
      </c>
      <c r="AK3" s="82" t="str">
        <f t="shared" ref="AK3:AK34" si="22">IF(O3=3,LEFT(C3,FIND(" ",C3)-1),"")</f>
        <v/>
      </c>
      <c r="AL3" s="82">
        <f>IF(ISBLANK(AH3)=TRUE,"",ROWS($AI$3:AI3))</f>
        <v>1</v>
      </c>
      <c r="AM3" s="82" t="str">
        <f>IF('Portfolio 3'!$A$2=O3,AL3,"")</f>
        <v/>
      </c>
      <c r="AN3" s="82">
        <f>IF(O3='Portfolio 3'!$A$104,AL3,"")</f>
        <v>1</v>
      </c>
      <c r="AO3" s="82">
        <f>IFERROR(SMALL($AN$3:$AN$101,ROWS($AI$3:AI3)),"")</f>
        <v>1</v>
      </c>
      <c r="AP3" s="82">
        <f>IFERROR(SMALL($AM$3:$AM$101,ROWS($AI$3:AJ3)),"")</f>
        <v>4</v>
      </c>
    </row>
    <row r="4" spans="1:42" ht="21.75">
      <c r="A4" s="82">
        <v>2</v>
      </c>
      <c r="B4" s="82">
        <v>2101002</v>
      </c>
      <c r="C4" s="82" t="s">
        <v>230</v>
      </c>
      <c r="D4" s="82" t="s">
        <v>75</v>
      </c>
      <c r="E4" s="80" t="s">
        <v>164</v>
      </c>
      <c r="F4" s="82">
        <v>53</v>
      </c>
      <c r="G4" s="82" t="s">
        <v>11</v>
      </c>
      <c r="H4" s="93">
        <v>44178</v>
      </c>
      <c r="I4" s="82">
        <v>17661</v>
      </c>
      <c r="J4" s="82">
        <v>0.03</v>
      </c>
      <c r="K4" s="82">
        <v>529.82999999999993</v>
      </c>
      <c r="N4" s="82" t="str">
        <f t="shared" ref="N4:N67" si="23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4,"ซ.","ซอย"),"หมู่ที่","หมู่"),"ซอย ","ซอย"),"ถ.","ถนน"),"ต.","ตำบล"),"อ.","อำเภอ"),"No.",""),"No. ",""),"หมู่บ้าน","แหล่ง"),"Soi  ","Soi "),"Moo..","Moo"),"Moo.","Moo"),"Rd.","Road "),"Road","Road "),"Moo","Moo "),"Moo  ","Moo "),"จังหวัด",""),"ถนน.","ถนน"),"จ.",""),"เลขที่ ",""),"  "," "),"กทม.","กรุงเทพ"),"ซอย ","ซอย+"),"ชั้นที่","ชั้น"),"หมู่","หมู่ "),"หมู่  ","หมู่ "),"ตำบล","แขวง"),"อำเภอ","เขต")</f>
        <v>5055/5 ถนนพหลโยธิน แขวงเวียง เขตเมือง พะเยา 12345</v>
      </c>
      <c r="O4" s="82">
        <f t="shared" si="0"/>
        <v>53</v>
      </c>
      <c r="P4" s="82" t="str">
        <f t="shared" si="1"/>
        <v>05462XXX06239</v>
      </c>
      <c r="Q4" s="82" t="str">
        <f t="shared" si="2"/>
        <v>พิ่งเปิด94</v>
      </c>
      <c r="R4" s="82" t="str">
        <f t="shared" si="3"/>
        <v/>
      </c>
      <c r="S4" s="82" t="str">
        <f t="shared" si="4"/>
        <v/>
      </c>
      <c r="T4" s="82" t="str">
        <f t="shared" si="5"/>
        <v/>
      </c>
      <c r="U4" s="82" t="str">
        <f t="shared" si="6"/>
        <v>5055/5</v>
      </c>
      <c r="V4" s="82" t="str">
        <f t="shared" si="7"/>
        <v/>
      </c>
      <c r="W4" s="82" t="str">
        <f t="shared" si="8"/>
        <v/>
      </c>
      <c r="X4" s="82" t="str">
        <f t="shared" si="9"/>
        <v>พหลโยธิน</v>
      </c>
      <c r="Y4" s="82" t="str">
        <f t="shared" si="10"/>
        <v>เวียง</v>
      </c>
      <c r="Z4" s="82" t="str">
        <f t="shared" si="11"/>
        <v/>
      </c>
      <c r="AA4" s="82" t="str">
        <f t="shared" si="12"/>
        <v>เมือง</v>
      </c>
      <c r="AB4" s="82" t="str">
        <f t="shared" si="13"/>
        <v>พะเยา</v>
      </c>
      <c r="AC4" s="82" t="str">
        <f t="shared" si="14"/>
        <v>12345</v>
      </c>
      <c r="AD4" s="85">
        <f t="shared" si="15"/>
        <v>242504</v>
      </c>
      <c r="AE4" s="82">
        <f t="shared" si="16"/>
        <v>3</v>
      </c>
      <c r="AF4" s="83">
        <f t="shared" si="17"/>
        <v>17661</v>
      </c>
      <c r="AG4" s="83">
        <f t="shared" si="18"/>
        <v>529.82999999999993</v>
      </c>
      <c r="AH4" s="82" t="str">
        <f t="shared" si="19"/>
        <v>ค่าบริการ</v>
      </c>
      <c r="AI4" s="82" t="str">
        <f t="shared" si="20"/>
        <v/>
      </c>
      <c r="AJ4" s="82" t="str">
        <f t="shared" si="21"/>
        <v/>
      </c>
      <c r="AK4" s="82" t="str">
        <f t="shared" si="22"/>
        <v/>
      </c>
      <c r="AL4" s="82">
        <f>IF(ISBLANK(AH4)=TRUE,"",ROWS($AI$3:AI4))</f>
        <v>2</v>
      </c>
      <c r="AM4" s="82" t="str">
        <f>IF('Portfolio 3'!$A$2=O4,AL4,"")</f>
        <v/>
      </c>
      <c r="AN4" s="82">
        <f>IF(O4='Portfolio 3'!$A$104,AL4,"")</f>
        <v>2</v>
      </c>
      <c r="AO4" s="82">
        <f>IFERROR(SMALL($AN$3:$AN$101,ROWS($AI$3:AI4)),"")</f>
        <v>2</v>
      </c>
      <c r="AP4" s="82">
        <f>IFERROR(SMALL($AM$3:$AM$101,ROWS($AI$3:AJ4)),"")</f>
        <v>7</v>
      </c>
    </row>
    <row r="5" spans="1:42" ht="21.75">
      <c r="A5" s="82">
        <v>3</v>
      </c>
      <c r="B5" s="82">
        <v>2101003</v>
      </c>
      <c r="C5" s="82" t="s">
        <v>231</v>
      </c>
      <c r="D5" s="82" t="s">
        <v>76</v>
      </c>
      <c r="E5" s="80" t="s">
        <v>165</v>
      </c>
      <c r="F5" s="82">
        <v>53</v>
      </c>
      <c r="G5" s="82" t="s">
        <v>11</v>
      </c>
      <c r="H5" s="93">
        <v>44216</v>
      </c>
      <c r="I5" s="82">
        <v>18432</v>
      </c>
      <c r="J5" s="82">
        <v>0.03</v>
      </c>
      <c r="K5" s="82">
        <v>552.96</v>
      </c>
      <c r="N5" s="82" t="str">
        <f t="shared" si="23"/>
        <v>502/9 หมู่ 2 แขวงปากทาง เขตเมือง พิจิตร 12345</v>
      </c>
      <c r="O5" s="82">
        <f t="shared" si="0"/>
        <v>53</v>
      </c>
      <c r="P5" s="82" t="str">
        <f t="shared" si="1"/>
        <v>09421XXX10141</v>
      </c>
      <c r="Q5" s="82" t="str">
        <f t="shared" si="2"/>
        <v>ซื้อแล้วรวย56</v>
      </c>
      <c r="R5" s="82" t="str">
        <f t="shared" si="3"/>
        <v/>
      </c>
      <c r="S5" s="82" t="str">
        <f t="shared" si="4"/>
        <v/>
      </c>
      <c r="T5" s="82" t="str">
        <f t="shared" si="5"/>
        <v/>
      </c>
      <c r="U5" s="82" t="str">
        <f t="shared" si="6"/>
        <v>502/9</v>
      </c>
      <c r="V5" s="82" t="str">
        <f t="shared" si="7"/>
        <v>2</v>
      </c>
      <c r="W5" s="82" t="str">
        <f t="shared" si="8"/>
        <v/>
      </c>
      <c r="X5" s="82" t="str">
        <f t="shared" si="9"/>
        <v/>
      </c>
      <c r="Y5" s="82" t="str">
        <f t="shared" si="10"/>
        <v>ปากทาง</v>
      </c>
      <c r="Z5" s="82" t="str">
        <f t="shared" si="11"/>
        <v/>
      </c>
      <c r="AA5" s="82" t="str">
        <f t="shared" si="12"/>
        <v>เมือง</v>
      </c>
      <c r="AB5" s="82" t="str">
        <f t="shared" si="13"/>
        <v>พิจิตร</v>
      </c>
      <c r="AC5" s="82" t="str">
        <f t="shared" si="14"/>
        <v>12345</v>
      </c>
      <c r="AD5" s="85">
        <f t="shared" si="15"/>
        <v>242542</v>
      </c>
      <c r="AE5" s="82">
        <f t="shared" si="16"/>
        <v>3</v>
      </c>
      <c r="AF5" s="83">
        <f t="shared" si="17"/>
        <v>18432</v>
      </c>
      <c r="AG5" s="83">
        <f t="shared" si="18"/>
        <v>552.96</v>
      </c>
      <c r="AH5" s="82" t="str">
        <f t="shared" si="19"/>
        <v>ค่าบริการ</v>
      </c>
      <c r="AI5" s="82" t="str">
        <f t="shared" si="20"/>
        <v/>
      </c>
      <c r="AJ5" s="82" t="str">
        <f t="shared" si="21"/>
        <v/>
      </c>
      <c r="AK5" s="82" t="str">
        <f t="shared" si="22"/>
        <v/>
      </c>
      <c r="AL5" s="82">
        <f>IF(ISBLANK(AH5)=TRUE,"",ROWS($AI$3:AI5))</f>
        <v>3</v>
      </c>
      <c r="AM5" s="82" t="str">
        <f>IF('Portfolio 3'!$A$2=O5,AL5,"")</f>
        <v/>
      </c>
      <c r="AN5" s="82">
        <f>IF(O5='Portfolio 3'!$A$104,AL5,"")</f>
        <v>3</v>
      </c>
      <c r="AO5" s="82">
        <f>IFERROR(SMALL($AN$3:$AN$101,ROWS($AI$3:AI5)),"")</f>
        <v>3</v>
      </c>
      <c r="AP5" s="82">
        <f>IFERROR(SMALL($AM$3:$AM$101,ROWS($AI$3:AJ5)),"")</f>
        <v>8</v>
      </c>
    </row>
    <row r="6" spans="1:42" ht="21.75">
      <c r="A6" s="82">
        <v>4</v>
      </c>
      <c r="B6" s="82">
        <v>2101004</v>
      </c>
      <c r="C6" s="82" t="s">
        <v>232</v>
      </c>
      <c r="D6" s="82" t="s">
        <v>77</v>
      </c>
      <c r="E6" s="80" t="s">
        <v>166</v>
      </c>
      <c r="F6" s="82">
        <v>3</v>
      </c>
      <c r="G6" s="82" t="s">
        <v>11</v>
      </c>
      <c r="H6" s="93">
        <v>44074</v>
      </c>
      <c r="I6" s="82">
        <v>24217</v>
      </c>
      <c r="J6" s="82">
        <v>0.03</v>
      </c>
      <c r="K6" s="82">
        <v>726.51</v>
      </c>
      <c r="N6" s="82" t="str">
        <f t="shared" si="23"/>
        <v>504 หมู่ 9 แขวงในเมือง เขตสวรรคโลก สุโขทัย 12345</v>
      </c>
      <c r="O6" s="82">
        <f t="shared" si="0"/>
        <v>3</v>
      </c>
      <c r="P6" s="82" t="str">
        <f t="shared" si="1"/>
        <v>02317XXX34284</v>
      </c>
      <c r="Q6" s="82" t="str">
        <f t="shared" si="2"/>
        <v>นายอยากจะรวยอาคมแรงสี่สิบสาม</v>
      </c>
      <c r="R6" s="82" t="str">
        <f t="shared" si="3"/>
        <v/>
      </c>
      <c r="S6" s="82" t="str">
        <f t="shared" si="4"/>
        <v/>
      </c>
      <c r="T6" s="82" t="str">
        <f t="shared" si="5"/>
        <v/>
      </c>
      <c r="U6" s="82" t="str">
        <f t="shared" si="6"/>
        <v>504</v>
      </c>
      <c r="V6" s="82" t="str">
        <f t="shared" si="7"/>
        <v>9</v>
      </c>
      <c r="W6" s="82" t="str">
        <f t="shared" si="8"/>
        <v/>
      </c>
      <c r="X6" s="82" t="str">
        <f t="shared" si="9"/>
        <v/>
      </c>
      <c r="Y6" s="82" t="str">
        <f t="shared" si="10"/>
        <v>ในเมือง</v>
      </c>
      <c r="Z6" s="82" t="str">
        <f t="shared" si="11"/>
        <v/>
      </c>
      <c r="AA6" s="82" t="str">
        <f t="shared" si="12"/>
        <v>สวรรคโลก</v>
      </c>
      <c r="AB6" s="82" t="str">
        <f t="shared" si="13"/>
        <v>สุโขทัย</v>
      </c>
      <c r="AC6" s="82" t="str">
        <f t="shared" si="14"/>
        <v>12345</v>
      </c>
      <c r="AD6" s="85">
        <f t="shared" si="15"/>
        <v>242400</v>
      </c>
      <c r="AE6" s="82">
        <f t="shared" si="16"/>
        <v>3</v>
      </c>
      <c r="AF6" s="83">
        <f t="shared" si="17"/>
        <v>24217</v>
      </c>
      <c r="AG6" s="83">
        <f t="shared" si="18"/>
        <v>726.51</v>
      </c>
      <c r="AH6" s="82" t="str">
        <f t="shared" si="19"/>
        <v>ค่าบริการ</v>
      </c>
      <c r="AI6" s="82" t="str">
        <f t="shared" si="20"/>
        <v>อยากจะรวย</v>
      </c>
      <c r="AJ6" s="82" t="str">
        <f t="shared" si="21"/>
        <v>อาคมแรงสี่สิบสาม</v>
      </c>
      <c r="AK6" s="82" t="str">
        <f t="shared" si="22"/>
        <v>นาย</v>
      </c>
      <c r="AL6" s="82">
        <f>IF(ISBLANK(AH6)=TRUE,"",ROWS($AI$3:AI6))</f>
        <v>4</v>
      </c>
      <c r="AM6" s="82">
        <f>IF('Portfolio 3'!$A$2=O6,AL6,"")</f>
        <v>4</v>
      </c>
      <c r="AN6" s="82" t="str">
        <f>IF(O6='Portfolio 3'!$A$104,AL6,"")</f>
        <v/>
      </c>
      <c r="AO6" s="82">
        <f>IFERROR(SMALL($AN$3:$AN$101,ROWS($AI$3:AI6)),"")</f>
        <v>5</v>
      </c>
      <c r="AP6" s="82">
        <f>IFERROR(SMALL($AM$3:$AM$101,ROWS($AI$3:AJ6)),"")</f>
        <v>13</v>
      </c>
    </row>
    <row r="7" spans="1:42" ht="21.75">
      <c r="A7" s="82">
        <v>5</v>
      </c>
      <c r="B7" s="82">
        <v>2101005</v>
      </c>
      <c r="C7" s="82" t="s">
        <v>233</v>
      </c>
      <c r="D7" s="82" t="s">
        <v>78</v>
      </c>
      <c r="E7" s="80" t="s">
        <v>167</v>
      </c>
      <c r="F7" s="82">
        <v>53</v>
      </c>
      <c r="G7" s="82" t="s">
        <v>11</v>
      </c>
      <c r="H7" s="93">
        <v>43599</v>
      </c>
      <c r="I7" s="82">
        <v>16581</v>
      </c>
      <c r="J7" s="82">
        <v>0.03</v>
      </c>
      <c r="K7" s="82">
        <v>497.43</v>
      </c>
      <c r="N7" s="82" t="str">
        <f t="shared" si="23"/>
        <v>508 หมู่ 7 แขวงกลางดง เขตทุ่งเสลี่ยม สุโขทัย 12345</v>
      </c>
      <c r="O7" s="82">
        <f t="shared" si="0"/>
        <v>53</v>
      </c>
      <c r="P7" s="82" t="str">
        <f t="shared" si="1"/>
        <v>01090XXX99101</v>
      </c>
      <c r="Q7" s="82" t="str">
        <f t="shared" si="2"/>
        <v>นายอยากจะรวยอาคมแรงแปดสิบเอ็ด</v>
      </c>
      <c r="R7" s="82" t="str">
        <f t="shared" si="3"/>
        <v/>
      </c>
      <c r="S7" s="82" t="str">
        <f t="shared" si="4"/>
        <v/>
      </c>
      <c r="T7" s="82" t="str">
        <f t="shared" si="5"/>
        <v/>
      </c>
      <c r="U7" s="82" t="str">
        <f t="shared" si="6"/>
        <v>508</v>
      </c>
      <c r="V7" s="82" t="str">
        <f t="shared" si="7"/>
        <v>7</v>
      </c>
      <c r="W7" s="82" t="str">
        <f t="shared" si="8"/>
        <v/>
      </c>
      <c r="X7" s="82" t="str">
        <f t="shared" si="9"/>
        <v/>
      </c>
      <c r="Y7" s="82" t="str">
        <f t="shared" si="10"/>
        <v>กลางดง</v>
      </c>
      <c r="Z7" s="82" t="str">
        <f t="shared" si="11"/>
        <v/>
      </c>
      <c r="AA7" s="82" t="str">
        <f t="shared" si="12"/>
        <v>ทุ่งเสลี่ยม</v>
      </c>
      <c r="AB7" s="82" t="str">
        <f t="shared" si="13"/>
        <v>สุโขทัย</v>
      </c>
      <c r="AC7" s="82" t="str">
        <f t="shared" si="14"/>
        <v>12345</v>
      </c>
      <c r="AD7" s="85">
        <f t="shared" si="15"/>
        <v>241926</v>
      </c>
      <c r="AE7" s="82">
        <f t="shared" si="16"/>
        <v>3</v>
      </c>
      <c r="AF7" s="83">
        <f t="shared" si="17"/>
        <v>16581</v>
      </c>
      <c r="AG7" s="83">
        <f t="shared" si="18"/>
        <v>497.43</v>
      </c>
      <c r="AH7" s="82" t="str">
        <f t="shared" si="19"/>
        <v>ค่าบริการ</v>
      </c>
      <c r="AI7" s="82" t="str">
        <f t="shared" si="20"/>
        <v/>
      </c>
      <c r="AJ7" s="82" t="str">
        <f t="shared" si="21"/>
        <v/>
      </c>
      <c r="AK7" s="82" t="str">
        <f t="shared" si="22"/>
        <v/>
      </c>
      <c r="AL7" s="82">
        <f>IF(ISBLANK(AH7)=TRUE,"",ROWS($AI$3:AI7))</f>
        <v>5</v>
      </c>
      <c r="AM7" s="82" t="str">
        <f>IF('Portfolio 3'!$A$2=O7,AL7,"")</f>
        <v/>
      </c>
      <c r="AN7" s="82">
        <f>IF(O7='Portfolio 3'!$A$104,AL7,"")</f>
        <v>5</v>
      </c>
      <c r="AO7" s="82">
        <f>IFERROR(SMALL($AN$3:$AN$101,ROWS($AI$3:AI7)),"")</f>
        <v>6</v>
      </c>
      <c r="AP7" s="82">
        <f>IFERROR(SMALL($AM$3:$AM$101,ROWS($AI$3:AJ7)),"")</f>
        <v>15</v>
      </c>
    </row>
    <row r="8" spans="1:42" ht="21.75">
      <c r="A8" s="82">
        <v>6</v>
      </c>
      <c r="B8" s="82">
        <v>2101006</v>
      </c>
      <c r="C8" s="82" t="s">
        <v>234</v>
      </c>
      <c r="D8" s="82" t="s">
        <v>79</v>
      </c>
      <c r="E8" s="80" t="s">
        <v>168</v>
      </c>
      <c r="F8" s="82">
        <v>53</v>
      </c>
      <c r="G8" s="82" t="s">
        <v>11</v>
      </c>
      <c r="H8" s="93">
        <v>43693</v>
      </c>
      <c r="I8" s="82">
        <v>15941</v>
      </c>
      <c r="J8" s="82">
        <v>0.03</v>
      </c>
      <c r="K8" s="82">
        <v>478.22999999999996</v>
      </c>
      <c r="N8" s="82" t="str">
        <f t="shared" si="23"/>
        <v>5520 หมู่ 5 ถนนไกรสรสิทธิ์ แขวงเวียง เขตเมือง เชียงราย 12345</v>
      </c>
      <c r="O8" s="82">
        <f t="shared" si="0"/>
        <v>53</v>
      </c>
      <c r="P8" s="82" t="str">
        <f t="shared" si="1"/>
        <v>01949XXX93691</v>
      </c>
      <c r="Q8" s="82" t="str">
        <f t="shared" si="2"/>
        <v>พิ่งเปิด12</v>
      </c>
      <c r="R8" s="82" t="str">
        <f t="shared" si="3"/>
        <v/>
      </c>
      <c r="S8" s="82" t="str">
        <f t="shared" si="4"/>
        <v/>
      </c>
      <c r="T8" s="82" t="str">
        <f t="shared" si="5"/>
        <v/>
      </c>
      <c r="U8" s="82" t="str">
        <f t="shared" si="6"/>
        <v>5520</v>
      </c>
      <c r="V8" s="82" t="str">
        <f t="shared" si="7"/>
        <v>5</v>
      </c>
      <c r="W8" s="82" t="str">
        <f t="shared" si="8"/>
        <v/>
      </c>
      <c r="X8" s="82" t="str">
        <f t="shared" si="9"/>
        <v>ไกรสรสิทธิ์</v>
      </c>
      <c r="Y8" s="82" t="str">
        <f t="shared" si="10"/>
        <v>เวียง</v>
      </c>
      <c r="Z8" s="82" t="str">
        <f t="shared" si="11"/>
        <v/>
      </c>
      <c r="AA8" s="82" t="str">
        <f t="shared" si="12"/>
        <v>เมือง</v>
      </c>
      <c r="AB8" s="82" t="str">
        <f t="shared" si="13"/>
        <v>เชียงราย</v>
      </c>
      <c r="AC8" s="82" t="str">
        <f t="shared" si="14"/>
        <v>12345</v>
      </c>
      <c r="AD8" s="85">
        <f t="shared" si="15"/>
        <v>242020</v>
      </c>
      <c r="AE8" s="82">
        <f t="shared" si="16"/>
        <v>3</v>
      </c>
      <c r="AF8" s="83">
        <f t="shared" si="17"/>
        <v>15941</v>
      </c>
      <c r="AG8" s="83">
        <f t="shared" si="18"/>
        <v>478.22999999999996</v>
      </c>
      <c r="AH8" s="82" t="str">
        <f t="shared" si="19"/>
        <v>ค่าบริการ</v>
      </c>
      <c r="AI8" s="82" t="str">
        <f t="shared" si="20"/>
        <v/>
      </c>
      <c r="AJ8" s="82" t="str">
        <f t="shared" si="21"/>
        <v/>
      </c>
      <c r="AK8" s="82" t="str">
        <f t="shared" si="22"/>
        <v/>
      </c>
      <c r="AL8" s="82">
        <f>IF(ISBLANK(AH8)=TRUE,"",ROWS($AI$3:AI8))</f>
        <v>6</v>
      </c>
      <c r="AM8" s="82" t="str">
        <f>IF('Portfolio 3'!$A$2=O8,AL8,"")</f>
        <v/>
      </c>
      <c r="AN8" s="82">
        <f>IF(O8='Portfolio 3'!$A$104,AL8,"")</f>
        <v>6</v>
      </c>
      <c r="AO8" s="82">
        <f>IFERROR(SMALL($AN$3:$AN$101,ROWS($AI$3:AI8)),"")</f>
        <v>9</v>
      </c>
      <c r="AP8" s="82">
        <f>IFERROR(SMALL($AM$3:$AM$101,ROWS($AI$3:AJ8)),"")</f>
        <v>16</v>
      </c>
    </row>
    <row r="9" spans="1:42" ht="21.75">
      <c r="A9" s="82">
        <v>7</v>
      </c>
      <c r="B9" s="82">
        <v>2101007</v>
      </c>
      <c r="C9" s="82" t="s">
        <v>235</v>
      </c>
      <c r="D9" s="82" t="s">
        <v>80</v>
      </c>
      <c r="E9" s="80" t="s">
        <v>169</v>
      </c>
      <c r="F9" s="82">
        <v>3</v>
      </c>
      <c r="G9" s="82" t="s">
        <v>11</v>
      </c>
      <c r="H9" s="93">
        <v>43756</v>
      </c>
      <c r="I9" s="82">
        <v>13840</v>
      </c>
      <c r="J9" s="82">
        <v>0.03</v>
      </c>
      <c r="K9" s="82">
        <v>415.2</v>
      </c>
      <c r="N9" s="82" t="str">
        <f t="shared" si="23"/>
        <v>556 หมู่ 5 แขวงหนองฉาง เขตหนองฉาง อุทัยธานี 12345</v>
      </c>
      <c r="O9" s="82">
        <f t="shared" si="0"/>
        <v>3</v>
      </c>
      <c r="P9" s="82" t="str">
        <f t="shared" si="1"/>
        <v>02823XXX27342</v>
      </c>
      <c r="Q9" s="82" t="str">
        <f t="shared" si="2"/>
        <v>นายอยากจะรวยอาคมแรงเก้าสิบห้า</v>
      </c>
      <c r="R9" s="82" t="str">
        <f t="shared" si="3"/>
        <v/>
      </c>
      <c r="S9" s="82" t="str">
        <f t="shared" si="4"/>
        <v/>
      </c>
      <c r="T9" s="82" t="str">
        <f t="shared" si="5"/>
        <v/>
      </c>
      <c r="U9" s="82" t="str">
        <f t="shared" si="6"/>
        <v>556</v>
      </c>
      <c r="V9" s="82" t="str">
        <f t="shared" si="7"/>
        <v>5</v>
      </c>
      <c r="W9" s="82" t="str">
        <f t="shared" si="8"/>
        <v/>
      </c>
      <c r="X9" s="82" t="str">
        <f t="shared" si="9"/>
        <v/>
      </c>
      <c r="Y9" s="82" t="str">
        <f t="shared" si="10"/>
        <v>หนองฉาง</v>
      </c>
      <c r="Z9" s="82" t="str">
        <f t="shared" si="11"/>
        <v/>
      </c>
      <c r="AA9" s="82" t="str">
        <f t="shared" si="12"/>
        <v>หนองฉาง</v>
      </c>
      <c r="AB9" s="82" t="str">
        <f t="shared" si="13"/>
        <v>อุทัยธานี</v>
      </c>
      <c r="AC9" s="82" t="str">
        <f t="shared" si="14"/>
        <v>12345</v>
      </c>
      <c r="AD9" s="85">
        <f t="shared" si="15"/>
        <v>242083</v>
      </c>
      <c r="AE9" s="82">
        <f t="shared" si="16"/>
        <v>3</v>
      </c>
      <c r="AF9" s="83">
        <f t="shared" si="17"/>
        <v>13840</v>
      </c>
      <c r="AG9" s="83">
        <f t="shared" si="18"/>
        <v>415.2</v>
      </c>
      <c r="AH9" s="82" t="str">
        <f t="shared" si="19"/>
        <v>ค่าบริการ</v>
      </c>
      <c r="AI9" s="82" t="str">
        <f t="shared" si="20"/>
        <v>อยากจะรวย</v>
      </c>
      <c r="AJ9" s="82" t="str">
        <f t="shared" si="21"/>
        <v>อาคมแรงเก้าสิบห้า</v>
      </c>
      <c r="AK9" s="82" t="str">
        <f t="shared" si="22"/>
        <v>นาย</v>
      </c>
      <c r="AL9" s="82">
        <f>IF(ISBLANK(AH9)=TRUE,"",ROWS($AI$3:AI9))</f>
        <v>7</v>
      </c>
      <c r="AM9" s="82">
        <f>IF('Portfolio 3'!$A$2=O9,AL9,"")</f>
        <v>7</v>
      </c>
      <c r="AN9" s="82" t="str">
        <f>IF(O9='Portfolio 3'!$A$104,AL9,"")</f>
        <v/>
      </c>
      <c r="AO9" s="82">
        <f>IFERROR(SMALL($AN$3:$AN$101,ROWS($AI$3:AI9)),"")</f>
        <v>10</v>
      </c>
      <c r="AP9" s="82">
        <f>IFERROR(SMALL($AM$3:$AM$101,ROWS($AI$3:AJ9)),"")</f>
        <v>18</v>
      </c>
    </row>
    <row r="10" spans="1:42" ht="21.75">
      <c r="A10" s="82">
        <v>8</v>
      </c>
      <c r="B10" s="82">
        <v>2101008</v>
      </c>
      <c r="C10" s="82" t="s">
        <v>231</v>
      </c>
      <c r="D10" s="82" t="s">
        <v>81</v>
      </c>
      <c r="E10" s="80" t="s">
        <v>170</v>
      </c>
      <c r="F10" s="82">
        <v>3</v>
      </c>
      <c r="G10" s="82" t="s">
        <v>11</v>
      </c>
      <c r="H10" s="93">
        <v>43986</v>
      </c>
      <c r="I10" s="82">
        <v>25565</v>
      </c>
      <c r="J10" s="82">
        <v>0.03</v>
      </c>
      <c r="K10" s="82">
        <v>766.94999999999993</v>
      </c>
      <c r="N10" s="82" t="str">
        <f t="shared" si="23"/>
        <v>53/5 หมู่ 5 ถนน พะเยา-ปง แขวงห้วยข้าวก่ำ เขตจุน พะเยา 12345</v>
      </c>
      <c r="O10" s="82">
        <f t="shared" si="0"/>
        <v>3</v>
      </c>
      <c r="P10" s="82" t="str">
        <f t="shared" si="1"/>
        <v>04948XXX26999</v>
      </c>
      <c r="Q10" s="82" t="str">
        <f t="shared" si="2"/>
        <v>ซื้อแล้วรวย56</v>
      </c>
      <c r="R10" s="82" t="str">
        <f t="shared" si="3"/>
        <v/>
      </c>
      <c r="S10" s="82" t="str">
        <f t="shared" si="4"/>
        <v/>
      </c>
      <c r="T10" s="82" t="str">
        <f t="shared" si="5"/>
        <v/>
      </c>
      <c r="U10" s="82" t="str">
        <f t="shared" si="6"/>
        <v>53/5</v>
      </c>
      <c r="V10" s="82" t="str">
        <f t="shared" si="7"/>
        <v>5</v>
      </c>
      <c r="W10" s="82" t="str">
        <f t="shared" si="8"/>
        <v/>
      </c>
      <c r="X10" s="82" t="str">
        <f t="shared" si="9"/>
        <v/>
      </c>
      <c r="Y10" s="82" t="str">
        <f t="shared" si="10"/>
        <v>ห้วยข้าวก่ำ</v>
      </c>
      <c r="Z10" s="82" t="str">
        <f t="shared" si="11"/>
        <v/>
      </c>
      <c r="AA10" s="82" t="str">
        <f t="shared" si="12"/>
        <v>จุน</v>
      </c>
      <c r="AB10" s="82" t="str">
        <f t="shared" si="13"/>
        <v>พะเยา</v>
      </c>
      <c r="AC10" s="82" t="str">
        <f t="shared" si="14"/>
        <v>12345</v>
      </c>
      <c r="AD10" s="85">
        <f t="shared" si="15"/>
        <v>242312</v>
      </c>
      <c r="AE10" s="82">
        <f t="shared" si="16"/>
        <v>3</v>
      </c>
      <c r="AF10" s="83">
        <f t="shared" si="17"/>
        <v>25565</v>
      </c>
      <c r="AG10" s="83">
        <f t="shared" si="18"/>
        <v>766.94999999999993</v>
      </c>
      <c r="AH10" s="82" t="str">
        <f t="shared" si="19"/>
        <v>ค่าบริการ</v>
      </c>
      <c r="AI10" s="82" t="str">
        <f t="shared" si="20"/>
        <v>ซื้อแล้วรวย</v>
      </c>
      <c r="AJ10" s="82" t="str">
        <f t="shared" si="21"/>
        <v>56 จำกัด</v>
      </c>
      <c r="AK10" s="82" t="str">
        <f t="shared" si="22"/>
        <v>บริษัท</v>
      </c>
      <c r="AL10" s="82">
        <f>IF(ISBLANK(AH10)=TRUE,"",ROWS($AI$3:AI10))</f>
        <v>8</v>
      </c>
      <c r="AM10" s="82">
        <f>IF('Portfolio 3'!$A$2=O10,AL10,"")</f>
        <v>8</v>
      </c>
      <c r="AN10" s="82" t="str">
        <f>IF(O10='Portfolio 3'!$A$104,AL10,"")</f>
        <v/>
      </c>
      <c r="AO10" s="82">
        <f>IFERROR(SMALL($AN$3:$AN$101,ROWS($AI$3:AI10)),"")</f>
        <v>11</v>
      </c>
      <c r="AP10" s="82">
        <f>IFERROR(SMALL($AM$3:$AM$101,ROWS($AI$3:AJ10)),"")</f>
        <v>31</v>
      </c>
    </row>
    <row r="11" spans="1:42" ht="21.75">
      <c r="A11" s="82">
        <v>9</v>
      </c>
      <c r="B11" s="82">
        <v>2101009</v>
      </c>
      <c r="C11" s="82" t="s">
        <v>236</v>
      </c>
      <c r="D11" s="82" t="s">
        <v>82</v>
      </c>
      <c r="E11" s="80" t="s">
        <v>171</v>
      </c>
      <c r="F11" s="82">
        <v>53</v>
      </c>
      <c r="G11" s="82" t="s">
        <v>11</v>
      </c>
      <c r="H11" s="93">
        <v>43715</v>
      </c>
      <c r="I11" s="82">
        <v>26528</v>
      </c>
      <c r="J11" s="82">
        <v>0.03</v>
      </c>
      <c r="K11" s="82">
        <v>795.83999999999992</v>
      </c>
      <c r="N11" s="82" t="str">
        <f t="shared" si="23"/>
        <v>555 หมู่ 55 แขวงสันนาเม็ง เขตสันทราย เชียงใหม่ 12345</v>
      </c>
      <c r="O11" s="82">
        <f t="shared" si="0"/>
        <v>53</v>
      </c>
      <c r="P11" s="82" t="str">
        <f t="shared" si="1"/>
        <v>03808XXX55271</v>
      </c>
      <c r="Q11" s="82" t="str">
        <f t="shared" si="2"/>
        <v>พิ่งเปิด24</v>
      </c>
      <c r="R11" s="82" t="str">
        <f t="shared" si="3"/>
        <v/>
      </c>
      <c r="S11" s="82" t="str">
        <f t="shared" si="4"/>
        <v/>
      </c>
      <c r="T11" s="82" t="str">
        <f t="shared" si="5"/>
        <v/>
      </c>
      <c r="U11" s="82" t="str">
        <f t="shared" si="6"/>
        <v>555</v>
      </c>
      <c r="V11" s="82" t="str">
        <f t="shared" si="7"/>
        <v>55</v>
      </c>
      <c r="W11" s="82" t="str">
        <f t="shared" si="8"/>
        <v/>
      </c>
      <c r="X11" s="82" t="str">
        <f t="shared" si="9"/>
        <v/>
      </c>
      <c r="Y11" s="82" t="str">
        <f t="shared" si="10"/>
        <v>สันนาเม็ง</v>
      </c>
      <c r="Z11" s="82" t="str">
        <f t="shared" si="11"/>
        <v/>
      </c>
      <c r="AA11" s="82" t="str">
        <f t="shared" si="12"/>
        <v>สันทราย</v>
      </c>
      <c r="AB11" s="82" t="str">
        <f t="shared" si="13"/>
        <v>เชียงใหม่</v>
      </c>
      <c r="AC11" s="82" t="str">
        <f t="shared" si="14"/>
        <v>12345</v>
      </c>
      <c r="AD11" s="85">
        <f t="shared" si="15"/>
        <v>242042</v>
      </c>
      <c r="AE11" s="82">
        <f t="shared" si="16"/>
        <v>3</v>
      </c>
      <c r="AF11" s="83">
        <f t="shared" si="17"/>
        <v>26528</v>
      </c>
      <c r="AG11" s="83">
        <f t="shared" si="18"/>
        <v>795.83999999999992</v>
      </c>
      <c r="AH11" s="82" t="str">
        <f t="shared" si="19"/>
        <v>ค่าบริการ</v>
      </c>
      <c r="AI11" s="82" t="str">
        <f t="shared" si="20"/>
        <v/>
      </c>
      <c r="AJ11" s="82" t="str">
        <f t="shared" si="21"/>
        <v/>
      </c>
      <c r="AK11" s="82" t="str">
        <f t="shared" si="22"/>
        <v/>
      </c>
      <c r="AL11" s="82">
        <f>IF(ISBLANK(AH11)=TRUE,"",ROWS($AI$3:AI11))</f>
        <v>9</v>
      </c>
      <c r="AM11" s="82" t="str">
        <f>IF('Portfolio 3'!$A$2=O11,AL11,"")</f>
        <v/>
      </c>
      <c r="AN11" s="82">
        <f>IF(O11='Portfolio 3'!$A$104,AL11,"")</f>
        <v>9</v>
      </c>
      <c r="AO11" s="82">
        <f>IFERROR(SMALL($AN$3:$AN$101,ROWS($AI$3:AI11)),"")</f>
        <v>12</v>
      </c>
      <c r="AP11" s="82">
        <f>IFERROR(SMALL($AM$3:$AM$101,ROWS($AI$3:AJ11)),"")</f>
        <v>32</v>
      </c>
    </row>
    <row r="12" spans="1:42" ht="21.75">
      <c r="A12" s="82">
        <v>10</v>
      </c>
      <c r="B12" s="82">
        <v>2101010</v>
      </c>
      <c r="C12" s="82" t="s">
        <v>237</v>
      </c>
      <c r="D12" s="82" t="s">
        <v>83</v>
      </c>
      <c r="E12" s="80" t="s">
        <v>172</v>
      </c>
      <c r="F12" s="82">
        <v>53</v>
      </c>
      <c r="G12" s="82" t="s">
        <v>11</v>
      </c>
      <c r="H12" s="93">
        <v>43597</v>
      </c>
      <c r="I12" s="82">
        <v>26636</v>
      </c>
      <c r="J12" s="82">
        <v>0.03</v>
      </c>
      <c r="K12" s="82">
        <v>799.07999999999993</v>
      </c>
      <c r="N12" s="82" t="str">
        <f t="shared" si="23"/>
        <v>5522 หมู่ 5 แขวงสลกบาตร เขตขาณุวรลักษบุรี กำแพงเพชร 12345</v>
      </c>
      <c r="O12" s="82">
        <f t="shared" si="0"/>
        <v>53</v>
      </c>
      <c r="P12" s="82" t="str">
        <f t="shared" si="1"/>
        <v>02776XXX59149</v>
      </c>
      <c r="Q12" s="82" t="str">
        <f t="shared" si="2"/>
        <v>นายพิ่งเปิดมาคงสัยเก้าสิบเอ็ด</v>
      </c>
      <c r="R12" s="82" t="str">
        <f t="shared" si="3"/>
        <v/>
      </c>
      <c r="S12" s="82" t="str">
        <f t="shared" si="4"/>
        <v/>
      </c>
      <c r="T12" s="82" t="str">
        <f t="shared" si="5"/>
        <v/>
      </c>
      <c r="U12" s="82" t="str">
        <f t="shared" si="6"/>
        <v>5522</v>
      </c>
      <c r="V12" s="82" t="str">
        <f t="shared" si="7"/>
        <v>5</v>
      </c>
      <c r="W12" s="82" t="str">
        <f t="shared" si="8"/>
        <v/>
      </c>
      <c r="X12" s="82" t="str">
        <f t="shared" si="9"/>
        <v/>
      </c>
      <c r="Y12" s="82" t="str">
        <f t="shared" si="10"/>
        <v>สลกบาตร</v>
      </c>
      <c r="Z12" s="82" t="str">
        <f t="shared" si="11"/>
        <v/>
      </c>
      <c r="AA12" s="82" t="str">
        <f t="shared" si="12"/>
        <v>ขาณุวรลักษบุรี</v>
      </c>
      <c r="AB12" s="82" t="str">
        <f t="shared" si="13"/>
        <v>กำแพงเพชร</v>
      </c>
      <c r="AC12" s="82" t="str">
        <f t="shared" si="14"/>
        <v>12345</v>
      </c>
      <c r="AD12" s="85">
        <f t="shared" si="15"/>
        <v>241924</v>
      </c>
      <c r="AE12" s="82">
        <f t="shared" si="16"/>
        <v>3</v>
      </c>
      <c r="AF12" s="83">
        <f t="shared" si="17"/>
        <v>26636</v>
      </c>
      <c r="AG12" s="83">
        <f t="shared" si="18"/>
        <v>799.07999999999993</v>
      </c>
      <c r="AH12" s="82" t="str">
        <f t="shared" si="19"/>
        <v>ค่าบริการ</v>
      </c>
      <c r="AI12" s="82" t="str">
        <f t="shared" si="20"/>
        <v/>
      </c>
      <c r="AJ12" s="82" t="str">
        <f t="shared" si="21"/>
        <v/>
      </c>
      <c r="AK12" s="82" t="str">
        <f t="shared" si="22"/>
        <v/>
      </c>
      <c r="AL12" s="82">
        <f>IF(ISBLANK(AH12)=TRUE,"",ROWS($AI$3:AI12))</f>
        <v>10</v>
      </c>
      <c r="AM12" s="82" t="str">
        <f>IF('Portfolio 3'!$A$2=O12,AL12,"")</f>
        <v/>
      </c>
      <c r="AN12" s="82">
        <f>IF(O12='Portfolio 3'!$A$104,AL12,"")</f>
        <v>10</v>
      </c>
      <c r="AO12" s="82">
        <f>IFERROR(SMALL($AN$3:$AN$101,ROWS($AI$3:AI12)),"")</f>
        <v>14</v>
      </c>
      <c r="AP12" s="82">
        <f>IFERROR(SMALL($AM$3:$AM$101,ROWS($AI$3:AJ12)),"")</f>
        <v>33</v>
      </c>
    </row>
    <row r="13" spans="1:42" ht="21.75">
      <c r="A13" s="82">
        <v>11</v>
      </c>
      <c r="B13" s="82">
        <v>2101011</v>
      </c>
      <c r="C13" s="82" t="s">
        <v>238</v>
      </c>
      <c r="D13" s="82" t="s">
        <v>157</v>
      </c>
      <c r="E13" s="80" t="s">
        <v>173</v>
      </c>
      <c r="F13" s="82">
        <v>53</v>
      </c>
      <c r="G13" s="82" t="s">
        <v>11</v>
      </c>
      <c r="H13" s="93">
        <v>43933</v>
      </c>
      <c r="I13" s="82">
        <v>20897</v>
      </c>
      <c r="J13" s="82">
        <v>0.03</v>
      </c>
      <c r="K13" s="82">
        <v>626.91</v>
      </c>
      <c r="N13" s="82" t="str">
        <f t="shared" si="23"/>
        <v>557/5 หมู่ 5 ซอยตัวอย่าง แขวงลาดยาว เขตลาดยาว นครสวรรค์ 12345</v>
      </c>
      <c r="O13" s="82">
        <f t="shared" si="0"/>
        <v>53</v>
      </c>
      <c r="P13" s="82" t="str">
        <f t="shared" si="1"/>
        <v>05333XXX49910</v>
      </c>
      <c r="Q13" s="82" t="str">
        <f t="shared" si="2"/>
        <v>นายพิ่งเปิดมาคงสัยหกสิบเอ็ด</v>
      </c>
      <c r="R13" s="82" t="str">
        <f t="shared" si="3"/>
        <v/>
      </c>
      <c r="S13" s="82" t="str">
        <f t="shared" si="4"/>
        <v/>
      </c>
      <c r="T13" s="82" t="str">
        <f t="shared" si="5"/>
        <v/>
      </c>
      <c r="U13" s="82" t="str">
        <f t="shared" si="6"/>
        <v>557/5</v>
      </c>
      <c r="V13" s="82" t="str">
        <f t="shared" si="7"/>
        <v>5</v>
      </c>
      <c r="W13" s="82" t="str">
        <f t="shared" si="8"/>
        <v>ตัวอย่าง</v>
      </c>
      <c r="X13" s="82" t="str">
        <f t="shared" si="9"/>
        <v/>
      </c>
      <c r="Y13" s="82" t="str">
        <f t="shared" si="10"/>
        <v>ลาดยาว</v>
      </c>
      <c r="Z13" s="82" t="str">
        <f t="shared" si="11"/>
        <v/>
      </c>
      <c r="AA13" s="82" t="str">
        <f t="shared" si="12"/>
        <v>ลาดยาว</v>
      </c>
      <c r="AB13" s="82" t="str">
        <f t="shared" si="13"/>
        <v>นครสวรรค์</v>
      </c>
      <c r="AC13" s="82" t="str">
        <f t="shared" si="14"/>
        <v>12345</v>
      </c>
      <c r="AD13" s="85">
        <f t="shared" si="15"/>
        <v>242259</v>
      </c>
      <c r="AE13" s="82">
        <f t="shared" si="16"/>
        <v>3</v>
      </c>
      <c r="AF13" s="83">
        <f t="shared" si="17"/>
        <v>20897</v>
      </c>
      <c r="AG13" s="83">
        <f t="shared" si="18"/>
        <v>626.91</v>
      </c>
      <c r="AH13" s="82" t="str">
        <f t="shared" si="19"/>
        <v>ค่าบริการ</v>
      </c>
      <c r="AI13" s="82" t="str">
        <f t="shared" si="20"/>
        <v/>
      </c>
      <c r="AJ13" s="82" t="str">
        <f t="shared" si="21"/>
        <v/>
      </c>
      <c r="AK13" s="82" t="str">
        <f t="shared" si="22"/>
        <v/>
      </c>
      <c r="AL13" s="82">
        <f>IF(ISBLANK(AH13)=TRUE,"",ROWS($AI$3:AI13))</f>
        <v>11</v>
      </c>
      <c r="AM13" s="82" t="str">
        <f>IF('Portfolio 3'!$A$2=O13,AL13,"")</f>
        <v/>
      </c>
      <c r="AN13" s="82">
        <f>IF(O13='Portfolio 3'!$A$104,AL13,"")</f>
        <v>11</v>
      </c>
      <c r="AO13" s="82">
        <f>IFERROR(SMALL($AN$3:$AN$101,ROWS($AI$3:AI13)),"")</f>
        <v>17</v>
      </c>
      <c r="AP13" s="82">
        <f>IFERROR(SMALL($AM$3:$AM$101,ROWS($AI$3:AJ13)),"")</f>
        <v>35</v>
      </c>
    </row>
    <row r="14" spans="1:42" ht="21.75">
      <c r="A14" s="82">
        <v>12</v>
      </c>
      <c r="B14" s="82">
        <v>2101012</v>
      </c>
      <c r="C14" s="82" t="s">
        <v>239</v>
      </c>
      <c r="D14" s="82" t="s">
        <v>84</v>
      </c>
      <c r="E14" s="80" t="s">
        <v>174</v>
      </c>
      <c r="F14" s="82">
        <v>53</v>
      </c>
      <c r="G14" s="82" t="s">
        <v>11</v>
      </c>
      <c r="H14" s="93">
        <v>44005</v>
      </c>
      <c r="I14" s="82">
        <v>17434</v>
      </c>
      <c r="J14" s="82">
        <v>0.03</v>
      </c>
      <c r="K14" s="82">
        <v>523.02</v>
      </c>
      <c r="N14" s="82" t="str">
        <f t="shared" si="23"/>
        <v>558 หมู่ 5 แขวงนครสวรรค์ เขตเมือง นครสวรรค์ 12345</v>
      </c>
      <c r="O14" s="82">
        <f t="shared" si="0"/>
        <v>53</v>
      </c>
      <c r="P14" s="82" t="str">
        <f t="shared" si="1"/>
        <v>08443XXX96101</v>
      </c>
      <c r="Q14" s="82" t="str">
        <f t="shared" si="2"/>
        <v>ตัวอย่าง40</v>
      </c>
      <c r="R14" s="82" t="str">
        <f t="shared" si="3"/>
        <v/>
      </c>
      <c r="S14" s="82" t="str">
        <f t="shared" si="4"/>
        <v/>
      </c>
      <c r="T14" s="82" t="str">
        <f t="shared" si="5"/>
        <v/>
      </c>
      <c r="U14" s="82" t="str">
        <f t="shared" si="6"/>
        <v>558</v>
      </c>
      <c r="V14" s="82" t="str">
        <f t="shared" si="7"/>
        <v>5</v>
      </c>
      <c r="W14" s="82" t="str">
        <f t="shared" si="8"/>
        <v/>
      </c>
      <c r="X14" s="82" t="str">
        <f t="shared" si="9"/>
        <v/>
      </c>
      <c r="Y14" s="82" t="str">
        <f t="shared" si="10"/>
        <v>นครสวรรค์</v>
      </c>
      <c r="Z14" s="82" t="str">
        <f t="shared" si="11"/>
        <v/>
      </c>
      <c r="AA14" s="82" t="str">
        <f t="shared" si="12"/>
        <v>เมือง</v>
      </c>
      <c r="AB14" s="82" t="str">
        <f t="shared" si="13"/>
        <v>นครสวรรค์</v>
      </c>
      <c r="AC14" s="82" t="str">
        <f t="shared" si="14"/>
        <v>12345</v>
      </c>
      <c r="AD14" s="85">
        <f t="shared" si="15"/>
        <v>242331</v>
      </c>
      <c r="AE14" s="82">
        <f t="shared" si="16"/>
        <v>3</v>
      </c>
      <c r="AF14" s="83">
        <f t="shared" si="17"/>
        <v>17434</v>
      </c>
      <c r="AG14" s="83">
        <f t="shared" si="18"/>
        <v>523.02</v>
      </c>
      <c r="AH14" s="82" t="str">
        <f t="shared" si="19"/>
        <v>ค่าบริการ</v>
      </c>
      <c r="AI14" s="82" t="str">
        <f t="shared" si="20"/>
        <v/>
      </c>
      <c r="AJ14" s="82" t="str">
        <f t="shared" si="21"/>
        <v/>
      </c>
      <c r="AK14" s="82" t="str">
        <f t="shared" si="22"/>
        <v/>
      </c>
      <c r="AL14" s="82">
        <f>IF(ISBLANK(AH14)=TRUE,"",ROWS($AI$3:AI14))</f>
        <v>12</v>
      </c>
      <c r="AM14" s="82" t="str">
        <f>IF('Portfolio 3'!$A$2=O14,AL14,"")</f>
        <v/>
      </c>
      <c r="AN14" s="82">
        <f>IF(O14='Portfolio 3'!$A$104,AL14,"")</f>
        <v>12</v>
      </c>
      <c r="AO14" s="82">
        <f>IFERROR(SMALL($AN$3:$AN$101,ROWS($AI$3:AI14)),"")</f>
        <v>19</v>
      </c>
      <c r="AP14" s="82">
        <f>IFERROR(SMALL($AM$3:$AM$101,ROWS($AI$3:AJ14)),"")</f>
        <v>36</v>
      </c>
    </row>
    <row r="15" spans="1:42" ht="21.75">
      <c r="A15" s="82">
        <v>13</v>
      </c>
      <c r="B15" s="82">
        <v>2101013</v>
      </c>
      <c r="C15" s="82" t="s">
        <v>240</v>
      </c>
      <c r="D15" s="82" t="s">
        <v>85</v>
      </c>
      <c r="E15" s="80" t="s">
        <v>175</v>
      </c>
      <c r="F15" s="82">
        <v>3</v>
      </c>
      <c r="G15" s="82" t="s">
        <v>11</v>
      </c>
      <c r="H15" s="93">
        <v>44418</v>
      </c>
      <c r="I15" s="82">
        <v>13131</v>
      </c>
      <c r="J15" s="82">
        <v>0.03</v>
      </c>
      <c r="K15" s="82">
        <v>393.93</v>
      </c>
      <c r="N15" s="82" t="str">
        <f t="shared" si="23"/>
        <v>558/9 หมู่ 5 ถนน ท่าตะโก - นครสวรรค์ แขวงนครสวรรค์ออก เขตเมือง นครสวรรค์ 12345</v>
      </c>
      <c r="O15" s="82">
        <f t="shared" si="0"/>
        <v>3</v>
      </c>
      <c r="P15" s="82" t="str">
        <f t="shared" si="1"/>
        <v>00440XXX91709</v>
      </c>
      <c r="Q15" s="82" t="str">
        <f t="shared" si="2"/>
        <v>นายอยากจะรวยอาคมแรงแปดสิบสาม</v>
      </c>
      <c r="R15" s="82" t="str">
        <f t="shared" si="3"/>
        <v/>
      </c>
      <c r="S15" s="82" t="str">
        <f t="shared" si="4"/>
        <v/>
      </c>
      <c r="T15" s="82" t="str">
        <f t="shared" si="5"/>
        <v/>
      </c>
      <c r="U15" s="82" t="str">
        <f t="shared" si="6"/>
        <v>558/9</v>
      </c>
      <c r="V15" s="82" t="str">
        <f t="shared" si="7"/>
        <v>5</v>
      </c>
      <c r="W15" s="82" t="str">
        <f t="shared" si="8"/>
        <v/>
      </c>
      <c r="X15" s="82" t="str">
        <f t="shared" si="9"/>
        <v/>
      </c>
      <c r="Y15" s="82" t="str">
        <f t="shared" si="10"/>
        <v>นครสวรรค์ออก</v>
      </c>
      <c r="Z15" s="82" t="str">
        <f t="shared" si="11"/>
        <v/>
      </c>
      <c r="AA15" s="82" t="str">
        <f t="shared" si="12"/>
        <v>เมือง</v>
      </c>
      <c r="AB15" s="82" t="str">
        <f t="shared" si="13"/>
        <v>นครสวรรค์</v>
      </c>
      <c r="AC15" s="82" t="str">
        <f t="shared" si="14"/>
        <v>12345</v>
      </c>
      <c r="AD15" s="85">
        <f t="shared" si="15"/>
        <v>242745</v>
      </c>
      <c r="AE15" s="82">
        <f t="shared" si="16"/>
        <v>3</v>
      </c>
      <c r="AF15" s="83">
        <f t="shared" si="17"/>
        <v>13131</v>
      </c>
      <c r="AG15" s="83">
        <f t="shared" si="18"/>
        <v>393.93</v>
      </c>
      <c r="AH15" s="82" t="str">
        <f t="shared" si="19"/>
        <v>ค่าบริการ</v>
      </c>
      <c r="AI15" s="82" t="str">
        <f t="shared" si="20"/>
        <v>อยากจะรวย</v>
      </c>
      <c r="AJ15" s="82" t="str">
        <f t="shared" si="21"/>
        <v>อาคมแรงแปดสิบสาม</v>
      </c>
      <c r="AK15" s="82" t="str">
        <f t="shared" si="22"/>
        <v>นาย</v>
      </c>
      <c r="AL15" s="82">
        <f>IF(ISBLANK(AH15)=TRUE,"",ROWS($AI$3:AI15))</f>
        <v>13</v>
      </c>
      <c r="AM15" s="82">
        <f>IF('Portfolio 3'!$A$2=O15,AL15,"")</f>
        <v>13</v>
      </c>
      <c r="AN15" s="82" t="str">
        <f>IF(O15='Portfolio 3'!$A$104,AL15,"")</f>
        <v/>
      </c>
      <c r="AO15" s="82">
        <f>IFERROR(SMALL($AN$3:$AN$101,ROWS($AI$3:AI15)),"")</f>
        <v>20</v>
      </c>
      <c r="AP15" s="82">
        <f>IFERROR(SMALL($AM$3:$AM$101,ROWS($AI$3:AJ15)),"")</f>
        <v>37</v>
      </c>
    </row>
    <row r="16" spans="1:42" ht="21.75">
      <c r="A16" s="82">
        <v>14</v>
      </c>
      <c r="B16" s="82">
        <v>2101014</v>
      </c>
      <c r="C16" s="82" t="s">
        <v>241</v>
      </c>
      <c r="D16" s="82" t="s">
        <v>86</v>
      </c>
      <c r="E16" s="80" t="s">
        <v>176</v>
      </c>
      <c r="F16" s="82">
        <v>53</v>
      </c>
      <c r="G16" s="82" t="s">
        <v>13</v>
      </c>
      <c r="H16" s="93">
        <v>43629</v>
      </c>
      <c r="I16" s="82">
        <v>28489</v>
      </c>
      <c r="J16" s="82">
        <v>0.05</v>
      </c>
      <c r="K16" s="82">
        <v>1424.45</v>
      </c>
      <c r="N16" s="82" t="str">
        <f t="shared" si="23"/>
        <v>568/5 หมู่ 4 ถนน ไทยชุมพล แขวงธานี เขตเมือง สุโขทัย 12345</v>
      </c>
      <c r="O16" s="82">
        <f t="shared" si="0"/>
        <v>53</v>
      </c>
      <c r="P16" s="82" t="str">
        <f t="shared" si="1"/>
        <v>03035XXX97937</v>
      </c>
      <c r="Q16" s="82" t="str">
        <f t="shared" si="2"/>
        <v>พิ่งเปิด46</v>
      </c>
      <c r="R16" s="82" t="str">
        <f t="shared" si="3"/>
        <v/>
      </c>
      <c r="S16" s="82" t="str">
        <f t="shared" si="4"/>
        <v/>
      </c>
      <c r="T16" s="82" t="str">
        <f t="shared" si="5"/>
        <v/>
      </c>
      <c r="U16" s="82" t="str">
        <f t="shared" si="6"/>
        <v>568/5</v>
      </c>
      <c r="V16" s="82" t="str">
        <f t="shared" si="7"/>
        <v>4</v>
      </c>
      <c r="W16" s="82" t="str">
        <f t="shared" si="8"/>
        <v/>
      </c>
      <c r="X16" s="82" t="str">
        <f t="shared" si="9"/>
        <v/>
      </c>
      <c r="Y16" s="82" t="str">
        <f t="shared" si="10"/>
        <v>ธานี</v>
      </c>
      <c r="Z16" s="82" t="str">
        <f t="shared" si="11"/>
        <v/>
      </c>
      <c r="AA16" s="82" t="str">
        <f t="shared" si="12"/>
        <v>เมือง</v>
      </c>
      <c r="AB16" s="82" t="str">
        <f t="shared" si="13"/>
        <v>สุโขทัย</v>
      </c>
      <c r="AC16" s="82" t="str">
        <f t="shared" si="14"/>
        <v>12345</v>
      </c>
      <c r="AD16" s="85">
        <f t="shared" si="15"/>
        <v>241956</v>
      </c>
      <c r="AE16" s="82">
        <f t="shared" si="16"/>
        <v>5</v>
      </c>
      <c r="AF16" s="83">
        <f t="shared" si="17"/>
        <v>28489</v>
      </c>
      <c r="AG16" s="83">
        <f t="shared" si="18"/>
        <v>1424.45</v>
      </c>
      <c r="AH16" s="82" t="str">
        <f t="shared" si="19"/>
        <v>ค่าเช่า</v>
      </c>
      <c r="AI16" s="82" t="str">
        <f t="shared" si="20"/>
        <v/>
      </c>
      <c r="AJ16" s="82" t="str">
        <f t="shared" si="21"/>
        <v/>
      </c>
      <c r="AK16" s="82" t="str">
        <f t="shared" si="22"/>
        <v/>
      </c>
      <c r="AL16" s="82">
        <f>IF(ISBLANK(AH16)=TRUE,"",ROWS($AI$3:AI16))</f>
        <v>14</v>
      </c>
      <c r="AM16" s="82" t="str">
        <f>IF('Portfolio 3'!$A$2=O16,AL16,"")</f>
        <v/>
      </c>
      <c r="AN16" s="82">
        <f>IF(O16='Portfolio 3'!$A$104,AL16,"")</f>
        <v>14</v>
      </c>
      <c r="AO16" s="82">
        <f>IFERROR(SMALL($AN$3:$AN$101,ROWS($AI$3:AI16)),"")</f>
        <v>21</v>
      </c>
      <c r="AP16" s="82">
        <f>IFERROR(SMALL($AM$3:$AM$101,ROWS($AI$3:AJ16)),"")</f>
        <v>38</v>
      </c>
    </row>
    <row r="17" spans="1:42" ht="21.75">
      <c r="A17" s="82">
        <v>15</v>
      </c>
      <c r="B17" s="82">
        <v>2101015</v>
      </c>
      <c r="C17" s="82" t="s">
        <v>230</v>
      </c>
      <c r="D17" s="82" t="s">
        <v>87</v>
      </c>
      <c r="E17" s="80" t="s">
        <v>177</v>
      </c>
      <c r="F17" s="82">
        <v>3</v>
      </c>
      <c r="G17" s="82" t="s">
        <v>11</v>
      </c>
      <c r="H17" s="93">
        <v>43585</v>
      </c>
      <c r="I17" s="82">
        <v>20630</v>
      </c>
      <c r="J17" s="82">
        <v>0.03</v>
      </c>
      <c r="K17" s="82">
        <v>618.9</v>
      </c>
      <c r="N17" s="82" t="str">
        <f t="shared" si="23"/>
        <v>570 หมู่ 2 แขวงสันมหาพน เขตแม่แตง เชียงใหม่ 12345</v>
      </c>
      <c r="O17" s="82">
        <f t="shared" si="0"/>
        <v>3</v>
      </c>
      <c r="P17" s="82" t="str">
        <f t="shared" si="1"/>
        <v>03330XXX65931</v>
      </c>
      <c r="Q17" s="82" t="str">
        <f t="shared" si="2"/>
        <v>พิ่งเปิด94</v>
      </c>
      <c r="R17" s="82" t="str">
        <f t="shared" si="3"/>
        <v/>
      </c>
      <c r="S17" s="82" t="str">
        <f t="shared" si="4"/>
        <v/>
      </c>
      <c r="T17" s="82" t="str">
        <f t="shared" si="5"/>
        <v/>
      </c>
      <c r="U17" s="82" t="str">
        <f t="shared" si="6"/>
        <v>570</v>
      </c>
      <c r="V17" s="82" t="str">
        <f t="shared" si="7"/>
        <v>2</v>
      </c>
      <c r="W17" s="82" t="str">
        <f t="shared" si="8"/>
        <v/>
      </c>
      <c r="X17" s="82" t="str">
        <f t="shared" si="9"/>
        <v/>
      </c>
      <c r="Y17" s="82" t="str">
        <f t="shared" si="10"/>
        <v>สันมหาพน</v>
      </c>
      <c r="Z17" s="82" t="str">
        <f t="shared" si="11"/>
        <v/>
      </c>
      <c r="AA17" s="82" t="str">
        <f t="shared" si="12"/>
        <v>แม่แตง</v>
      </c>
      <c r="AB17" s="82" t="str">
        <f t="shared" si="13"/>
        <v>เชียงใหม่</v>
      </c>
      <c r="AC17" s="82" t="str">
        <f t="shared" si="14"/>
        <v>12345</v>
      </c>
      <c r="AD17" s="85">
        <f t="shared" si="15"/>
        <v>241912</v>
      </c>
      <c r="AE17" s="82">
        <f t="shared" si="16"/>
        <v>3</v>
      </c>
      <c r="AF17" s="83">
        <f t="shared" si="17"/>
        <v>20630</v>
      </c>
      <c r="AG17" s="83">
        <f t="shared" si="18"/>
        <v>618.9</v>
      </c>
      <c r="AH17" s="82" t="str">
        <f t="shared" si="19"/>
        <v>ค่าบริการ</v>
      </c>
      <c r="AI17" s="82" t="str">
        <f t="shared" si="20"/>
        <v>พิ่งเปิด</v>
      </c>
      <c r="AJ17" s="82" t="str">
        <f t="shared" si="21"/>
        <v>94 จำกัด</v>
      </c>
      <c r="AK17" s="82" t="str">
        <f t="shared" si="22"/>
        <v>บริษัท</v>
      </c>
      <c r="AL17" s="82">
        <f>IF(ISBLANK(AH17)=TRUE,"",ROWS($AI$3:AI17))</f>
        <v>15</v>
      </c>
      <c r="AM17" s="82">
        <f>IF('Portfolio 3'!$A$2=O17,AL17,"")</f>
        <v>15</v>
      </c>
      <c r="AN17" s="82" t="str">
        <f>IF(O17='Portfolio 3'!$A$104,AL17,"")</f>
        <v/>
      </c>
      <c r="AO17" s="82">
        <f>IFERROR(SMALL($AN$3:$AN$101,ROWS($AI$3:AI17)),"")</f>
        <v>22</v>
      </c>
      <c r="AP17" s="82">
        <f>IFERROR(SMALL($AM$3:$AM$101,ROWS($AI$3:AJ17)),"")</f>
        <v>39</v>
      </c>
    </row>
    <row r="18" spans="1:42" ht="21.75">
      <c r="A18" s="82">
        <v>16</v>
      </c>
      <c r="B18" s="82">
        <v>2101016</v>
      </c>
      <c r="C18" s="82" t="s">
        <v>242</v>
      </c>
      <c r="D18" s="82" t="s">
        <v>88</v>
      </c>
      <c r="E18" s="80" t="s">
        <v>178</v>
      </c>
      <c r="F18" s="82">
        <v>3</v>
      </c>
      <c r="G18" s="82" t="s">
        <v>11</v>
      </c>
      <c r="H18" s="93">
        <v>43650</v>
      </c>
      <c r="I18" s="82">
        <v>14161</v>
      </c>
      <c r="J18" s="82">
        <v>0.03</v>
      </c>
      <c r="K18" s="82">
        <v>424.83</v>
      </c>
      <c r="N18" s="82" t="str">
        <f t="shared" si="23"/>
        <v>577 ถนนยันตรกิจโกศล แขวงร้องกวาง เขตร้องกวาง แพร่ 12345</v>
      </c>
      <c r="O18" s="82">
        <f t="shared" si="0"/>
        <v>3</v>
      </c>
      <c r="P18" s="82" t="str">
        <f t="shared" si="1"/>
        <v>00576XXX49365</v>
      </c>
      <c r="Q18" s="82" t="str">
        <f t="shared" si="2"/>
        <v>นางตัวอย่างสงเจริญห้าสิบเจ็ด</v>
      </c>
      <c r="R18" s="82" t="str">
        <f t="shared" si="3"/>
        <v/>
      </c>
      <c r="S18" s="82" t="str">
        <f t="shared" si="4"/>
        <v/>
      </c>
      <c r="T18" s="82" t="str">
        <f t="shared" si="5"/>
        <v/>
      </c>
      <c r="U18" s="82" t="str">
        <f t="shared" si="6"/>
        <v>577</v>
      </c>
      <c r="V18" s="82" t="str">
        <f t="shared" si="7"/>
        <v/>
      </c>
      <c r="W18" s="82" t="str">
        <f t="shared" si="8"/>
        <v/>
      </c>
      <c r="X18" s="82" t="str">
        <f t="shared" si="9"/>
        <v>ยันตรกิจโกศล</v>
      </c>
      <c r="Y18" s="82" t="str">
        <f t="shared" si="10"/>
        <v>ร้องกวาง</v>
      </c>
      <c r="Z18" s="82" t="str">
        <f t="shared" si="11"/>
        <v/>
      </c>
      <c r="AA18" s="82" t="str">
        <f t="shared" si="12"/>
        <v>ร้องกวาง</v>
      </c>
      <c r="AB18" s="82" t="str">
        <f t="shared" si="13"/>
        <v>แพร่</v>
      </c>
      <c r="AC18" s="82" t="str">
        <f t="shared" si="14"/>
        <v>12345</v>
      </c>
      <c r="AD18" s="85">
        <f t="shared" si="15"/>
        <v>241977</v>
      </c>
      <c r="AE18" s="82">
        <f t="shared" si="16"/>
        <v>3</v>
      </c>
      <c r="AF18" s="83">
        <f t="shared" si="17"/>
        <v>14161</v>
      </c>
      <c r="AG18" s="83">
        <f t="shared" si="18"/>
        <v>424.83</v>
      </c>
      <c r="AH18" s="82" t="str">
        <f t="shared" si="19"/>
        <v>ค่าบริการ</v>
      </c>
      <c r="AI18" s="82" t="str">
        <f t="shared" si="20"/>
        <v>ตัวอย่าง</v>
      </c>
      <c r="AJ18" s="82" t="str">
        <f t="shared" si="21"/>
        <v>สงเจริญห้าสิบเจ็ด</v>
      </c>
      <c r="AK18" s="82" t="str">
        <f t="shared" si="22"/>
        <v>นาง</v>
      </c>
      <c r="AL18" s="82">
        <f>IF(ISBLANK(AH18)=TRUE,"",ROWS($AI$3:AI18))</f>
        <v>16</v>
      </c>
      <c r="AM18" s="82">
        <f>IF('Portfolio 3'!$A$2=O18,AL18,"")</f>
        <v>16</v>
      </c>
      <c r="AN18" s="82" t="str">
        <f>IF(O18='Portfolio 3'!$A$104,AL18,"")</f>
        <v/>
      </c>
      <c r="AO18" s="82">
        <f>IFERROR(SMALL($AN$3:$AN$101,ROWS($AI$3:AI18)),"")</f>
        <v>23</v>
      </c>
      <c r="AP18" s="82">
        <f>IFERROR(SMALL($AM$3:$AM$101,ROWS($AI$3:AJ18)),"")</f>
        <v>40</v>
      </c>
    </row>
    <row r="19" spans="1:42" ht="21.75">
      <c r="A19" s="82">
        <v>17</v>
      </c>
      <c r="B19" s="82">
        <v>2101017</v>
      </c>
      <c r="C19" s="82" t="s">
        <v>243</v>
      </c>
      <c r="D19" s="82" t="s">
        <v>89</v>
      </c>
      <c r="E19" s="80" t="s">
        <v>179</v>
      </c>
      <c r="F19" s="82">
        <v>53</v>
      </c>
      <c r="G19" s="82" t="s">
        <v>11</v>
      </c>
      <c r="H19" s="93">
        <v>44351</v>
      </c>
      <c r="I19" s="82">
        <v>13289</v>
      </c>
      <c r="J19" s="82">
        <v>0.03</v>
      </c>
      <c r="K19" s="82">
        <v>398.66999999999996</v>
      </c>
      <c r="N19" s="82" t="str">
        <f t="shared" si="23"/>
        <v>578 หมู่ 50 ถนนฮอด-วังลุง แขวงหางดง เขตฮอด เชียงใหม่ 12345</v>
      </c>
      <c r="O19" s="82">
        <f t="shared" si="0"/>
        <v>53</v>
      </c>
      <c r="P19" s="82" t="str">
        <f t="shared" si="1"/>
        <v>05212XXX15301</v>
      </c>
      <c r="Q19" s="82" t="str">
        <f t="shared" si="2"/>
        <v>นางตัวอย่างสงเจริญแปดสิบเก้า</v>
      </c>
      <c r="R19" s="82" t="str">
        <f t="shared" si="3"/>
        <v/>
      </c>
      <c r="S19" s="82" t="str">
        <f t="shared" si="4"/>
        <v/>
      </c>
      <c r="T19" s="82" t="str">
        <f t="shared" si="5"/>
        <v/>
      </c>
      <c r="U19" s="82" t="str">
        <f t="shared" si="6"/>
        <v>578</v>
      </c>
      <c r="V19" s="82" t="str">
        <f t="shared" si="7"/>
        <v>50</v>
      </c>
      <c r="W19" s="82" t="str">
        <f t="shared" si="8"/>
        <v/>
      </c>
      <c r="X19" s="82" t="str">
        <f t="shared" si="9"/>
        <v>ฮอด-วังลุง</v>
      </c>
      <c r="Y19" s="82" t="str">
        <f t="shared" si="10"/>
        <v>หางดง</v>
      </c>
      <c r="Z19" s="82" t="str">
        <f t="shared" si="11"/>
        <v/>
      </c>
      <c r="AA19" s="82" t="str">
        <f t="shared" si="12"/>
        <v>ฮอด</v>
      </c>
      <c r="AB19" s="82" t="str">
        <f t="shared" si="13"/>
        <v>เชียงใหม่</v>
      </c>
      <c r="AC19" s="82" t="str">
        <f t="shared" si="14"/>
        <v>12345</v>
      </c>
      <c r="AD19" s="85">
        <f t="shared" si="15"/>
        <v>242678</v>
      </c>
      <c r="AE19" s="82">
        <f t="shared" si="16"/>
        <v>3</v>
      </c>
      <c r="AF19" s="83">
        <f t="shared" si="17"/>
        <v>13289</v>
      </c>
      <c r="AG19" s="83">
        <f t="shared" si="18"/>
        <v>398.66999999999996</v>
      </c>
      <c r="AH19" s="82" t="str">
        <f t="shared" si="19"/>
        <v>ค่าบริการ</v>
      </c>
      <c r="AI19" s="82" t="str">
        <f t="shared" si="20"/>
        <v/>
      </c>
      <c r="AJ19" s="82" t="str">
        <f t="shared" si="21"/>
        <v/>
      </c>
      <c r="AK19" s="82" t="str">
        <f t="shared" si="22"/>
        <v/>
      </c>
      <c r="AL19" s="82">
        <f>IF(ISBLANK(AH19)=TRUE,"",ROWS($AI$3:AI19))</f>
        <v>17</v>
      </c>
      <c r="AM19" s="82" t="str">
        <f>IF('Portfolio 3'!$A$2=O19,AL19,"")</f>
        <v/>
      </c>
      <c r="AN19" s="82">
        <f>IF(O19='Portfolio 3'!$A$104,AL19,"")</f>
        <v>17</v>
      </c>
      <c r="AO19" s="82">
        <f>IFERROR(SMALL($AN$3:$AN$101,ROWS($AI$3:AI19)),"")</f>
        <v>24</v>
      </c>
      <c r="AP19" s="82">
        <f>IFERROR(SMALL($AM$3:$AM$101,ROWS($AI$3:AJ19)),"")</f>
        <v>41</v>
      </c>
    </row>
    <row r="20" spans="1:42" ht="21.75">
      <c r="A20" s="82">
        <v>18</v>
      </c>
      <c r="B20" s="82">
        <v>2101018</v>
      </c>
      <c r="C20" s="82" t="s">
        <v>244</v>
      </c>
      <c r="D20" s="82" t="s">
        <v>90</v>
      </c>
      <c r="E20" s="80" t="s">
        <v>180</v>
      </c>
      <c r="F20" s="82">
        <v>3</v>
      </c>
      <c r="G20" s="82" t="s">
        <v>11</v>
      </c>
      <c r="H20" s="93">
        <v>43616</v>
      </c>
      <c r="I20" s="82">
        <v>14573</v>
      </c>
      <c r="J20" s="82">
        <v>0.03</v>
      </c>
      <c r="K20" s="82">
        <v>437.19</v>
      </c>
      <c r="N20" s="82" t="str">
        <f t="shared" si="23"/>
        <v>59 หมู่ 52 ถนนแม่สะเรียง แขวงบ้านกาศ เขตแม่สะเรียง แม่ฮ่องสอน 12345</v>
      </c>
      <c r="O20" s="82">
        <f t="shared" si="0"/>
        <v>3</v>
      </c>
      <c r="P20" s="82" t="str">
        <f t="shared" si="1"/>
        <v>01021XXX61943</v>
      </c>
      <c r="Q20" s="82" t="str">
        <f t="shared" si="2"/>
        <v>พิ่งเปิด28</v>
      </c>
      <c r="R20" s="82" t="str">
        <f t="shared" si="3"/>
        <v/>
      </c>
      <c r="S20" s="82" t="str">
        <f t="shared" si="4"/>
        <v/>
      </c>
      <c r="T20" s="82" t="str">
        <f t="shared" si="5"/>
        <v/>
      </c>
      <c r="U20" s="82" t="str">
        <f t="shared" si="6"/>
        <v>59</v>
      </c>
      <c r="V20" s="82" t="str">
        <f t="shared" si="7"/>
        <v>52</v>
      </c>
      <c r="W20" s="82" t="str">
        <f t="shared" si="8"/>
        <v/>
      </c>
      <c r="X20" s="82" t="str">
        <f t="shared" si="9"/>
        <v>แม่สะเรียง</v>
      </c>
      <c r="Y20" s="82" t="str">
        <f t="shared" si="10"/>
        <v>บ้านกาศ</v>
      </c>
      <c r="Z20" s="82" t="str">
        <f t="shared" si="11"/>
        <v/>
      </c>
      <c r="AA20" s="82" t="str">
        <f t="shared" si="12"/>
        <v>แม่สะเรียง</v>
      </c>
      <c r="AB20" s="82" t="str">
        <f t="shared" si="13"/>
        <v>แม่ฮ่องสอน</v>
      </c>
      <c r="AC20" s="82" t="str">
        <f t="shared" si="14"/>
        <v>12345</v>
      </c>
      <c r="AD20" s="85">
        <f t="shared" si="15"/>
        <v>241943</v>
      </c>
      <c r="AE20" s="82">
        <f t="shared" si="16"/>
        <v>3</v>
      </c>
      <c r="AF20" s="83">
        <f t="shared" si="17"/>
        <v>14573</v>
      </c>
      <c r="AG20" s="83">
        <f t="shared" si="18"/>
        <v>437.19</v>
      </c>
      <c r="AH20" s="82" t="str">
        <f t="shared" si="19"/>
        <v>ค่าบริการ</v>
      </c>
      <c r="AI20" s="82" t="str">
        <f t="shared" si="20"/>
        <v>พิ่งเปิด</v>
      </c>
      <c r="AJ20" s="82" t="str">
        <f t="shared" si="21"/>
        <v>28 จำกัด</v>
      </c>
      <c r="AK20" s="82" t="str">
        <f t="shared" si="22"/>
        <v>บริษัท</v>
      </c>
      <c r="AL20" s="82">
        <f>IF(ISBLANK(AH20)=TRUE,"",ROWS($AI$3:AI20))</f>
        <v>18</v>
      </c>
      <c r="AM20" s="82">
        <f>IF('Portfolio 3'!$A$2=O20,AL20,"")</f>
        <v>18</v>
      </c>
      <c r="AN20" s="82" t="str">
        <f>IF(O20='Portfolio 3'!$A$104,AL20,"")</f>
        <v/>
      </c>
      <c r="AO20" s="82">
        <f>IFERROR(SMALL($AN$3:$AN$101,ROWS($AI$3:AI20)),"")</f>
        <v>25</v>
      </c>
      <c r="AP20" s="82">
        <f>IFERROR(SMALL($AM$3:$AM$101,ROWS($AI$3:AJ20)),"")</f>
        <v>42</v>
      </c>
    </row>
    <row r="21" spans="1:42" ht="21.75">
      <c r="A21" s="82">
        <v>19</v>
      </c>
      <c r="B21" s="82">
        <v>2101019</v>
      </c>
      <c r="C21" s="82" t="s">
        <v>245</v>
      </c>
      <c r="D21" s="82" t="s">
        <v>91</v>
      </c>
      <c r="E21" s="80" t="s">
        <v>181</v>
      </c>
      <c r="F21" s="82">
        <v>53</v>
      </c>
      <c r="G21" s="82" t="s">
        <v>11</v>
      </c>
      <c r="H21" s="93">
        <v>43699</v>
      </c>
      <c r="I21" s="82">
        <v>12191</v>
      </c>
      <c r="J21" s="82">
        <v>0.03</v>
      </c>
      <c r="K21" s="82">
        <v>365.72999999999996</v>
      </c>
      <c r="N21" s="82" t="str">
        <f t="shared" si="23"/>
        <v>590 หมู่ 5 ถนนสายเอเชีย แขวงแม่ปะ เขตเถิน ลำปาง 12345</v>
      </c>
      <c r="O21" s="82">
        <f t="shared" si="0"/>
        <v>53</v>
      </c>
      <c r="P21" s="82" t="str">
        <f t="shared" si="1"/>
        <v>00262XXX25179</v>
      </c>
      <c r="Q21" s="82" t="str">
        <f t="shared" si="2"/>
        <v>นายพิ่งเปิดมาคงสัยห้าสิบสาม</v>
      </c>
      <c r="R21" s="82" t="str">
        <f t="shared" si="3"/>
        <v/>
      </c>
      <c r="S21" s="82" t="str">
        <f t="shared" si="4"/>
        <v/>
      </c>
      <c r="T21" s="82" t="str">
        <f t="shared" si="5"/>
        <v/>
      </c>
      <c r="U21" s="82" t="str">
        <f t="shared" si="6"/>
        <v>590</v>
      </c>
      <c r="V21" s="82" t="str">
        <f t="shared" si="7"/>
        <v>5</v>
      </c>
      <c r="W21" s="82" t="str">
        <f t="shared" si="8"/>
        <v/>
      </c>
      <c r="X21" s="82" t="str">
        <f t="shared" si="9"/>
        <v>สายเอเชีย</v>
      </c>
      <c r="Y21" s="82" t="str">
        <f t="shared" si="10"/>
        <v>แม่ปะ</v>
      </c>
      <c r="Z21" s="82" t="str">
        <f t="shared" si="11"/>
        <v/>
      </c>
      <c r="AA21" s="82" t="str">
        <f t="shared" si="12"/>
        <v>เถิน</v>
      </c>
      <c r="AB21" s="82" t="str">
        <f t="shared" si="13"/>
        <v>ลำปาง</v>
      </c>
      <c r="AC21" s="82" t="str">
        <f t="shared" si="14"/>
        <v>12345</v>
      </c>
      <c r="AD21" s="85">
        <f t="shared" si="15"/>
        <v>242026</v>
      </c>
      <c r="AE21" s="82">
        <f t="shared" si="16"/>
        <v>3</v>
      </c>
      <c r="AF21" s="83">
        <f t="shared" si="17"/>
        <v>12191</v>
      </c>
      <c r="AG21" s="83">
        <f t="shared" si="18"/>
        <v>365.72999999999996</v>
      </c>
      <c r="AH21" s="82" t="str">
        <f t="shared" si="19"/>
        <v>ค่าบริการ</v>
      </c>
      <c r="AI21" s="82" t="str">
        <f t="shared" si="20"/>
        <v/>
      </c>
      <c r="AJ21" s="82" t="str">
        <f t="shared" si="21"/>
        <v/>
      </c>
      <c r="AK21" s="82" t="str">
        <f t="shared" si="22"/>
        <v/>
      </c>
      <c r="AL21" s="82">
        <f>IF(ISBLANK(AH21)=TRUE,"",ROWS($AI$3:AI21))</f>
        <v>19</v>
      </c>
      <c r="AM21" s="82" t="str">
        <f>IF('Portfolio 3'!$A$2=O21,AL21,"")</f>
        <v/>
      </c>
      <c r="AN21" s="82">
        <f>IF(O21='Portfolio 3'!$A$104,AL21,"")</f>
        <v>19</v>
      </c>
      <c r="AO21" s="82">
        <f>IFERROR(SMALL($AN$3:$AN$101,ROWS($AI$3:AI21)),"")</f>
        <v>26</v>
      </c>
      <c r="AP21" s="82">
        <f>IFERROR(SMALL($AM$3:$AM$101,ROWS($AI$3:AJ21)),"")</f>
        <v>43</v>
      </c>
    </row>
    <row r="22" spans="1:42" ht="21.75">
      <c r="A22" s="82">
        <v>20</v>
      </c>
      <c r="B22" s="82">
        <v>2101020</v>
      </c>
      <c r="C22" s="82" t="s">
        <v>246</v>
      </c>
      <c r="D22" s="82" t="s">
        <v>92</v>
      </c>
      <c r="E22" s="80" t="s">
        <v>182</v>
      </c>
      <c r="F22" s="82">
        <v>53</v>
      </c>
      <c r="G22" s="82" t="s">
        <v>11</v>
      </c>
      <c r="H22" s="93">
        <v>43701</v>
      </c>
      <c r="I22" s="82">
        <v>25995</v>
      </c>
      <c r="J22" s="82">
        <v>0.03</v>
      </c>
      <c r="K22" s="82">
        <v>779.85</v>
      </c>
      <c r="N22" s="82" t="str">
        <f t="shared" si="23"/>
        <v>2 ถนนศศิบุตร แขวง- เขตเมือง แพร่ 12345</v>
      </c>
      <c r="O22" s="82">
        <f t="shared" si="0"/>
        <v>53</v>
      </c>
      <c r="P22" s="82" t="str">
        <f t="shared" si="1"/>
        <v>07221XXX83082</v>
      </c>
      <c r="Q22" s="82" t="str">
        <f t="shared" si="2"/>
        <v>นางซื้อแล้วรวยโตแล้วโตเจ็ดสิบเจ็ด</v>
      </c>
      <c r="R22" s="82" t="str">
        <f t="shared" si="3"/>
        <v/>
      </c>
      <c r="S22" s="82" t="str">
        <f t="shared" si="4"/>
        <v/>
      </c>
      <c r="T22" s="82" t="str">
        <f t="shared" si="5"/>
        <v/>
      </c>
      <c r="U22" s="82" t="str">
        <f t="shared" si="6"/>
        <v>2</v>
      </c>
      <c r="V22" s="82" t="str">
        <f t="shared" si="7"/>
        <v/>
      </c>
      <c r="W22" s="82" t="str">
        <f t="shared" si="8"/>
        <v/>
      </c>
      <c r="X22" s="82" t="str">
        <f t="shared" si="9"/>
        <v>ศศิบุตร</v>
      </c>
      <c r="Y22" s="82" t="str">
        <f t="shared" si="10"/>
        <v>-</v>
      </c>
      <c r="Z22" s="82" t="str">
        <f t="shared" si="11"/>
        <v/>
      </c>
      <c r="AA22" s="82" t="str">
        <f t="shared" si="12"/>
        <v>เมือง</v>
      </c>
      <c r="AB22" s="82" t="str">
        <f t="shared" si="13"/>
        <v>แพร่</v>
      </c>
      <c r="AC22" s="82" t="str">
        <f t="shared" si="14"/>
        <v>12345</v>
      </c>
      <c r="AD22" s="85">
        <f t="shared" si="15"/>
        <v>242028</v>
      </c>
      <c r="AE22" s="82">
        <f t="shared" si="16"/>
        <v>3</v>
      </c>
      <c r="AF22" s="83">
        <f t="shared" si="17"/>
        <v>25995</v>
      </c>
      <c r="AG22" s="83">
        <f t="shared" si="18"/>
        <v>779.85</v>
      </c>
      <c r="AH22" s="82" t="str">
        <f t="shared" si="19"/>
        <v>ค่าบริการ</v>
      </c>
      <c r="AI22" s="82" t="str">
        <f t="shared" si="20"/>
        <v/>
      </c>
      <c r="AJ22" s="82" t="str">
        <f t="shared" si="21"/>
        <v/>
      </c>
      <c r="AK22" s="82" t="str">
        <f t="shared" si="22"/>
        <v/>
      </c>
      <c r="AL22" s="82">
        <f>IF(ISBLANK(AH22)=TRUE,"",ROWS($AI$3:AI22))</f>
        <v>20</v>
      </c>
      <c r="AM22" s="82" t="str">
        <f>IF('Portfolio 3'!$A$2=O22,AL22,"")</f>
        <v/>
      </c>
      <c r="AN22" s="82">
        <f>IF(O22='Portfolio 3'!$A$104,AL22,"")</f>
        <v>20</v>
      </c>
      <c r="AO22" s="82">
        <f>IFERROR(SMALL($AN$3:$AN$101,ROWS($AI$3:AI22)),"")</f>
        <v>27</v>
      </c>
      <c r="AP22" s="82">
        <f>IFERROR(SMALL($AM$3:$AM$101,ROWS($AI$3:AJ22)),"")</f>
        <v>44</v>
      </c>
    </row>
    <row r="23" spans="1:42" ht="21.75">
      <c r="A23" s="82">
        <v>21</v>
      </c>
      <c r="B23" s="82">
        <v>2101021</v>
      </c>
      <c r="C23" s="82" t="s">
        <v>247</v>
      </c>
      <c r="D23" s="82" t="s">
        <v>93</v>
      </c>
      <c r="E23" s="80" t="s">
        <v>183</v>
      </c>
      <c r="F23" s="82">
        <v>53</v>
      </c>
      <c r="G23" s="82" t="s">
        <v>11</v>
      </c>
      <c r="H23" s="93">
        <v>43779</v>
      </c>
      <c r="I23" s="82">
        <v>24766</v>
      </c>
      <c r="J23" s="82">
        <v>0.03</v>
      </c>
      <c r="K23" s="82">
        <v>742.98</v>
      </c>
      <c r="N23" s="82" t="str">
        <f t="shared" si="23"/>
        <v>2 หมู่ 4 ถนนโชตนา แขวงเวียง เขตฝาง เชียงใหม่ 12345</v>
      </c>
      <c r="O23" s="82">
        <f t="shared" si="0"/>
        <v>53</v>
      </c>
      <c r="P23" s="82" t="str">
        <f t="shared" si="1"/>
        <v>03376XXX18618</v>
      </c>
      <c r="Q23" s="82" t="str">
        <f t="shared" si="2"/>
        <v>นายอยากจะรวยอาคมแรงสามสิบเอ็ด</v>
      </c>
      <c r="R23" s="82" t="str">
        <f t="shared" si="3"/>
        <v/>
      </c>
      <c r="S23" s="82" t="str">
        <f t="shared" si="4"/>
        <v/>
      </c>
      <c r="T23" s="82" t="str">
        <f t="shared" si="5"/>
        <v/>
      </c>
      <c r="U23" s="82" t="str">
        <f t="shared" si="6"/>
        <v>2</v>
      </c>
      <c r="V23" s="82" t="str">
        <f t="shared" si="7"/>
        <v>4</v>
      </c>
      <c r="W23" s="82" t="str">
        <f t="shared" si="8"/>
        <v/>
      </c>
      <c r="X23" s="82" t="str">
        <f t="shared" si="9"/>
        <v>โชตนา</v>
      </c>
      <c r="Y23" s="82" t="str">
        <f t="shared" si="10"/>
        <v>เวียง</v>
      </c>
      <c r="Z23" s="82" t="str">
        <f t="shared" si="11"/>
        <v/>
      </c>
      <c r="AA23" s="82" t="str">
        <f t="shared" si="12"/>
        <v>ฝาง</v>
      </c>
      <c r="AB23" s="82" t="str">
        <f t="shared" si="13"/>
        <v>เชียงใหม่</v>
      </c>
      <c r="AC23" s="82" t="str">
        <f t="shared" si="14"/>
        <v>12345</v>
      </c>
      <c r="AD23" s="85">
        <f t="shared" si="15"/>
        <v>242106</v>
      </c>
      <c r="AE23" s="82">
        <f t="shared" si="16"/>
        <v>3</v>
      </c>
      <c r="AF23" s="83">
        <f t="shared" si="17"/>
        <v>24766</v>
      </c>
      <c r="AG23" s="83">
        <f t="shared" si="18"/>
        <v>742.98</v>
      </c>
      <c r="AH23" s="82" t="str">
        <f t="shared" si="19"/>
        <v>ค่าบริการ</v>
      </c>
      <c r="AI23" s="82" t="str">
        <f t="shared" si="20"/>
        <v/>
      </c>
      <c r="AJ23" s="82" t="str">
        <f t="shared" si="21"/>
        <v/>
      </c>
      <c r="AK23" s="82" t="str">
        <f t="shared" si="22"/>
        <v/>
      </c>
      <c r="AL23" s="82">
        <f>IF(ISBLANK(AH23)=TRUE,"",ROWS($AI$3:AI23))</f>
        <v>21</v>
      </c>
      <c r="AM23" s="82" t="str">
        <f>IF('Portfolio 3'!$A$2=O23,AL23,"")</f>
        <v/>
      </c>
      <c r="AN23" s="82">
        <f>IF(O23='Portfolio 3'!$A$104,AL23,"")</f>
        <v>21</v>
      </c>
      <c r="AO23" s="82">
        <f>IFERROR(SMALL($AN$3:$AN$101,ROWS($AI$3:AI23)),"")</f>
        <v>28</v>
      </c>
      <c r="AP23" s="82">
        <f>IFERROR(SMALL($AM$3:$AM$101,ROWS($AI$3:AJ23)),"")</f>
        <v>45</v>
      </c>
    </row>
    <row r="24" spans="1:42" ht="21.75">
      <c r="A24" s="82">
        <v>22</v>
      </c>
      <c r="B24" s="82">
        <v>2101022</v>
      </c>
      <c r="C24" s="82" t="s">
        <v>248</v>
      </c>
      <c r="D24" s="82" t="s">
        <v>94</v>
      </c>
      <c r="E24" s="80" t="s">
        <v>184</v>
      </c>
      <c r="F24" s="82">
        <v>53</v>
      </c>
      <c r="G24" s="82" t="s">
        <v>11</v>
      </c>
      <c r="H24" s="93">
        <v>44352</v>
      </c>
      <c r="I24" s="82">
        <v>17457</v>
      </c>
      <c r="J24" s="82">
        <v>0.03</v>
      </c>
      <c r="K24" s="82">
        <v>523.71</v>
      </c>
      <c r="N24" s="82" t="str">
        <f t="shared" si="23"/>
        <v>203 ถนนพรหมประเสริฐ แขวงบ้านกล้วย เขตเมือง ชัยนาท 12345</v>
      </c>
      <c r="O24" s="82">
        <f t="shared" si="0"/>
        <v>53</v>
      </c>
      <c r="P24" s="82" t="str">
        <f t="shared" si="1"/>
        <v>00549XXX74344</v>
      </c>
      <c r="Q24" s="82" t="str">
        <f t="shared" si="2"/>
        <v>พิ่งเปิด6</v>
      </c>
      <c r="R24" s="82" t="str">
        <f t="shared" si="3"/>
        <v/>
      </c>
      <c r="S24" s="82" t="str">
        <f t="shared" si="4"/>
        <v/>
      </c>
      <c r="T24" s="82" t="str">
        <f t="shared" si="5"/>
        <v/>
      </c>
      <c r="U24" s="82" t="str">
        <f t="shared" si="6"/>
        <v>203</v>
      </c>
      <c r="V24" s="82" t="str">
        <f t="shared" si="7"/>
        <v/>
      </c>
      <c r="W24" s="82" t="str">
        <f t="shared" si="8"/>
        <v/>
      </c>
      <c r="X24" s="82" t="str">
        <f t="shared" si="9"/>
        <v>พรหมประเสริฐ</v>
      </c>
      <c r="Y24" s="82" t="str">
        <f t="shared" si="10"/>
        <v>บ้านกล้วย</v>
      </c>
      <c r="Z24" s="82" t="str">
        <f t="shared" si="11"/>
        <v/>
      </c>
      <c r="AA24" s="82" t="str">
        <f t="shared" si="12"/>
        <v>เมือง</v>
      </c>
      <c r="AB24" s="82" t="str">
        <f t="shared" si="13"/>
        <v>ชัยนาท</v>
      </c>
      <c r="AC24" s="82" t="str">
        <f t="shared" si="14"/>
        <v>12345</v>
      </c>
      <c r="AD24" s="85">
        <f t="shared" si="15"/>
        <v>242679</v>
      </c>
      <c r="AE24" s="82">
        <f t="shared" si="16"/>
        <v>3</v>
      </c>
      <c r="AF24" s="83">
        <f t="shared" si="17"/>
        <v>17457</v>
      </c>
      <c r="AG24" s="83">
        <f t="shared" si="18"/>
        <v>523.71</v>
      </c>
      <c r="AH24" s="82" t="str">
        <f t="shared" si="19"/>
        <v>ค่าบริการ</v>
      </c>
      <c r="AI24" s="82" t="str">
        <f t="shared" si="20"/>
        <v/>
      </c>
      <c r="AJ24" s="82" t="str">
        <f t="shared" si="21"/>
        <v/>
      </c>
      <c r="AK24" s="82" t="str">
        <f t="shared" si="22"/>
        <v/>
      </c>
      <c r="AL24" s="82">
        <f>IF(ISBLANK(AH24)=TRUE,"",ROWS($AI$3:AI24))</f>
        <v>22</v>
      </c>
      <c r="AM24" s="82" t="str">
        <f>IF('Portfolio 3'!$A$2=O24,AL24,"")</f>
        <v/>
      </c>
      <c r="AN24" s="82">
        <f>IF(O24='Portfolio 3'!$A$104,AL24,"")</f>
        <v>22</v>
      </c>
      <c r="AO24" s="82">
        <f>IFERROR(SMALL($AN$3:$AN$101,ROWS($AI$3:AI24)),"")</f>
        <v>29</v>
      </c>
      <c r="AP24" s="82">
        <f>IFERROR(SMALL($AM$3:$AM$101,ROWS($AI$3:AJ24)),"")</f>
        <v>46</v>
      </c>
    </row>
    <row r="25" spans="1:42" ht="21.75">
      <c r="A25" s="82">
        <v>23</v>
      </c>
      <c r="B25" s="82">
        <v>2101023</v>
      </c>
      <c r="C25" s="82" t="s">
        <v>232</v>
      </c>
      <c r="D25" s="82" t="s">
        <v>95</v>
      </c>
      <c r="E25" s="80" t="s">
        <v>185</v>
      </c>
      <c r="F25" s="82">
        <v>53</v>
      </c>
      <c r="G25" s="82" t="s">
        <v>11</v>
      </c>
      <c r="H25" s="93">
        <v>44006</v>
      </c>
      <c r="I25" s="82">
        <v>18297</v>
      </c>
      <c r="J25" s="82">
        <v>0.03</v>
      </c>
      <c r="K25" s="82">
        <v>548.91</v>
      </c>
      <c r="N25" s="82" t="str">
        <f t="shared" si="23"/>
        <v>2580 หมู่ 5 ถนน คลองชลประทาน แขวงเมืองพาน เขตพาน เชียงราย 12345</v>
      </c>
      <c r="O25" s="82">
        <f t="shared" si="0"/>
        <v>53</v>
      </c>
      <c r="P25" s="82" t="str">
        <f t="shared" si="1"/>
        <v>03454XXX54237</v>
      </c>
      <c r="Q25" s="82" t="str">
        <f t="shared" si="2"/>
        <v>นายอยากจะรวยอาคมแรงสี่สิบสาม</v>
      </c>
      <c r="R25" s="82" t="str">
        <f t="shared" si="3"/>
        <v/>
      </c>
      <c r="S25" s="82" t="str">
        <f t="shared" si="4"/>
        <v/>
      </c>
      <c r="T25" s="82" t="str">
        <f t="shared" si="5"/>
        <v/>
      </c>
      <c r="U25" s="82" t="str">
        <f t="shared" si="6"/>
        <v>2580</v>
      </c>
      <c r="V25" s="82" t="str">
        <f t="shared" si="7"/>
        <v>5</v>
      </c>
      <c r="W25" s="82" t="str">
        <f t="shared" si="8"/>
        <v/>
      </c>
      <c r="X25" s="82" t="str">
        <f t="shared" si="9"/>
        <v/>
      </c>
      <c r="Y25" s="82" t="str">
        <f t="shared" si="10"/>
        <v>เมืองพาน</v>
      </c>
      <c r="Z25" s="82" t="str">
        <f t="shared" si="11"/>
        <v/>
      </c>
      <c r="AA25" s="82" t="str">
        <f t="shared" si="12"/>
        <v>พาน</v>
      </c>
      <c r="AB25" s="82" t="str">
        <f t="shared" si="13"/>
        <v>เชียงราย</v>
      </c>
      <c r="AC25" s="82" t="str">
        <f t="shared" si="14"/>
        <v>12345</v>
      </c>
      <c r="AD25" s="85">
        <f t="shared" si="15"/>
        <v>242332</v>
      </c>
      <c r="AE25" s="82">
        <f t="shared" si="16"/>
        <v>3</v>
      </c>
      <c r="AF25" s="83">
        <f t="shared" si="17"/>
        <v>18297</v>
      </c>
      <c r="AG25" s="83">
        <f t="shared" si="18"/>
        <v>548.91</v>
      </c>
      <c r="AH25" s="82" t="str">
        <f t="shared" si="19"/>
        <v>ค่าบริการ</v>
      </c>
      <c r="AI25" s="82" t="str">
        <f t="shared" si="20"/>
        <v/>
      </c>
      <c r="AJ25" s="82" t="str">
        <f t="shared" si="21"/>
        <v/>
      </c>
      <c r="AK25" s="82" t="str">
        <f t="shared" si="22"/>
        <v/>
      </c>
      <c r="AL25" s="82">
        <f>IF(ISBLANK(AH25)=TRUE,"",ROWS($AI$3:AI25))</f>
        <v>23</v>
      </c>
      <c r="AM25" s="82" t="str">
        <f>IF('Portfolio 3'!$A$2=O25,AL25,"")</f>
        <v/>
      </c>
      <c r="AN25" s="82">
        <f>IF(O25='Portfolio 3'!$A$104,AL25,"")</f>
        <v>23</v>
      </c>
      <c r="AO25" s="82">
        <f>IFERROR(SMALL($AN$3:$AN$101,ROWS($AI$3:AI25)),"")</f>
        <v>30</v>
      </c>
      <c r="AP25" s="82">
        <f>IFERROR(SMALL($AM$3:$AM$101,ROWS($AI$3:AJ25)),"")</f>
        <v>47</v>
      </c>
    </row>
    <row r="26" spans="1:42" ht="21.75">
      <c r="A26" s="82">
        <v>24</v>
      </c>
      <c r="B26" s="82">
        <v>2101024</v>
      </c>
      <c r="C26" s="82" t="s">
        <v>249</v>
      </c>
      <c r="D26" s="82" t="s">
        <v>96</v>
      </c>
      <c r="E26" s="80" t="s">
        <v>186</v>
      </c>
      <c r="F26" s="82">
        <v>53</v>
      </c>
      <c r="G26" s="82" t="s">
        <v>11</v>
      </c>
      <c r="H26" s="93">
        <v>44063</v>
      </c>
      <c r="I26" s="82">
        <v>26649</v>
      </c>
      <c r="J26" s="82">
        <v>0.03</v>
      </c>
      <c r="K26" s="82">
        <v>799.47</v>
      </c>
      <c r="N26" s="82" t="str">
        <f t="shared" si="23"/>
        <v>22 หมู่ 55 ถนนเชียงราย-เทิง แขวงเวียง เขตเทิง เชียงราย 12345</v>
      </c>
      <c r="O26" s="82">
        <f t="shared" si="0"/>
        <v>53</v>
      </c>
      <c r="P26" s="82" t="str">
        <f t="shared" si="1"/>
        <v>09443XXX63317</v>
      </c>
      <c r="Q26" s="82" t="str">
        <f t="shared" si="2"/>
        <v>พิ่งเปิด74</v>
      </c>
      <c r="R26" s="82" t="str">
        <f t="shared" si="3"/>
        <v/>
      </c>
      <c r="S26" s="82" t="str">
        <f t="shared" si="4"/>
        <v/>
      </c>
      <c r="T26" s="82" t="str">
        <f t="shared" si="5"/>
        <v/>
      </c>
      <c r="U26" s="82" t="str">
        <f t="shared" si="6"/>
        <v>22</v>
      </c>
      <c r="V26" s="82" t="str">
        <f t="shared" si="7"/>
        <v>55</v>
      </c>
      <c r="W26" s="82" t="str">
        <f t="shared" si="8"/>
        <v/>
      </c>
      <c r="X26" s="82" t="str">
        <f t="shared" si="9"/>
        <v>เชียงราย-เทิง</v>
      </c>
      <c r="Y26" s="82" t="str">
        <f t="shared" si="10"/>
        <v>เวียง</v>
      </c>
      <c r="Z26" s="82" t="str">
        <f t="shared" si="11"/>
        <v/>
      </c>
      <c r="AA26" s="82" t="str">
        <f t="shared" si="12"/>
        <v>เทิง</v>
      </c>
      <c r="AB26" s="82" t="str">
        <f t="shared" si="13"/>
        <v>เชียงราย</v>
      </c>
      <c r="AC26" s="82" t="str">
        <f t="shared" si="14"/>
        <v>12345</v>
      </c>
      <c r="AD26" s="85">
        <f t="shared" si="15"/>
        <v>242389</v>
      </c>
      <c r="AE26" s="82">
        <f t="shared" si="16"/>
        <v>3</v>
      </c>
      <c r="AF26" s="83">
        <f t="shared" si="17"/>
        <v>26649</v>
      </c>
      <c r="AG26" s="83">
        <f t="shared" si="18"/>
        <v>799.47</v>
      </c>
      <c r="AH26" s="82" t="str">
        <f t="shared" si="19"/>
        <v>ค่าบริการ</v>
      </c>
      <c r="AI26" s="82" t="str">
        <f t="shared" si="20"/>
        <v/>
      </c>
      <c r="AJ26" s="82" t="str">
        <f t="shared" si="21"/>
        <v/>
      </c>
      <c r="AK26" s="82" t="str">
        <f t="shared" si="22"/>
        <v/>
      </c>
      <c r="AL26" s="82">
        <f>IF(ISBLANK(AH26)=TRUE,"",ROWS($AI$3:AI26))</f>
        <v>24</v>
      </c>
      <c r="AM26" s="82" t="str">
        <f>IF('Portfolio 3'!$A$2=O26,AL26,"")</f>
        <v/>
      </c>
      <c r="AN26" s="82">
        <f>IF(O26='Portfolio 3'!$A$104,AL26,"")</f>
        <v>24</v>
      </c>
      <c r="AO26" s="82">
        <f>IFERROR(SMALL($AN$3:$AN$101,ROWS($AI$3:AI26)),"")</f>
        <v>34</v>
      </c>
      <c r="AP26" s="82">
        <f>IFERROR(SMALL($AM$3:$AM$101,ROWS($AI$3:AJ26)),"")</f>
        <v>48</v>
      </c>
    </row>
    <row r="27" spans="1:42" ht="21.75">
      <c r="A27" s="82">
        <v>25</v>
      </c>
      <c r="B27" s="82">
        <v>2101025</v>
      </c>
      <c r="C27" s="82" t="s">
        <v>250</v>
      </c>
      <c r="D27" s="82" t="s">
        <v>97</v>
      </c>
      <c r="E27" s="80" t="s">
        <v>187</v>
      </c>
      <c r="F27" s="82">
        <v>53</v>
      </c>
      <c r="G27" s="82" t="s">
        <v>11</v>
      </c>
      <c r="H27" s="93">
        <v>43982</v>
      </c>
      <c r="I27" s="82">
        <v>21294</v>
      </c>
      <c r="J27" s="82">
        <v>0.03</v>
      </c>
      <c r="K27" s="82">
        <v>638.81999999999994</v>
      </c>
      <c r="N27" s="82" t="str">
        <f t="shared" si="23"/>
        <v>240 หมู่ 3 ถนนบ้านป่าป๋วย-หนองเขียด แขวงบ้านโฮ่ง เขตบ้านโฮ่ง ลำพูน 12345</v>
      </c>
      <c r="O27" s="82">
        <f t="shared" si="0"/>
        <v>53</v>
      </c>
      <c r="P27" s="82" t="str">
        <f t="shared" si="1"/>
        <v>04380XXX81121</v>
      </c>
      <c r="Q27" s="82" t="str">
        <f t="shared" si="2"/>
        <v>ซื้อแล้วรวย26</v>
      </c>
      <c r="R27" s="82" t="str">
        <f t="shared" si="3"/>
        <v/>
      </c>
      <c r="S27" s="82" t="str">
        <f t="shared" si="4"/>
        <v/>
      </c>
      <c r="T27" s="82" t="str">
        <f t="shared" si="5"/>
        <v/>
      </c>
      <c r="U27" s="82" t="str">
        <f t="shared" si="6"/>
        <v>240</v>
      </c>
      <c r="V27" s="82" t="str">
        <f t="shared" si="7"/>
        <v>3</v>
      </c>
      <c r="W27" s="82" t="str">
        <f t="shared" si="8"/>
        <v/>
      </c>
      <c r="X27" s="82" t="str">
        <f t="shared" si="9"/>
        <v>บ้านป่าป๋วย-หนองเขียด</v>
      </c>
      <c r="Y27" s="82" t="str">
        <f t="shared" si="10"/>
        <v>บ้านโฮ่ง</v>
      </c>
      <c r="Z27" s="82" t="str">
        <f t="shared" si="11"/>
        <v/>
      </c>
      <c r="AA27" s="82" t="str">
        <f t="shared" si="12"/>
        <v>บ้านโฮ่ง</v>
      </c>
      <c r="AB27" s="82" t="str">
        <f t="shared" si="13"/>
        <v>ลำพูน</v>
      </c>
      <c r="AC27" s="82" t="str">
        <f t="shared" si="14"/>
        <v>12345</v>
      </c>
      <c r="AD27" s="85">
        <f t="shared" si="15"/>
        <v>242308</v>
      </c>
      <c r="AE27" s="82">
        <f t="shared" si="16"/>
        <v>3</v>
      </c>
      <c r="AF27" s="83">
        <f t="shared" si="17"/>
        <v>21294</v>
      </c>
      <c r="AG27" s="83">
        <f t="shared" si="18"/>
        <v>638.81999999999994</v>
      </c>
      <c r="AH27" s="82" t="str">
        <f t="shared" si="19"/>
        <v>ค่าบริการ</v>
      </c>
      <c r="AI27" s="82" t="str">
        <f t="shared" si="20"/>
        <v/>
      </c>
      <c r="AJ27" s="82" t="str">
        <f t="shared" si="21"/>
        <v/>
      </c>
      <c r="AK27" s="82" t="str">
        <f t="shared" si="22"/>
        <v/>
      </c>
      <c r="AL27" s="82">
        <f>IF(ISBLANK(AH27)=TRUE,"",ROWS($AI$3:AI27))</f>
        <v>25</v>
      </c>
      <c r="AM27" s="82" t="str">
        <f>IF('Portfolio 3'!$A$2=O27,AL27,"")</f>
        <v/>
      </c>
      <c r="AN27" s="82">
        <f>IF(O27='Portfolio 3'!$A$104,AL27,"")</f>
        <v>25</v>
      </c>
      <c r="AO27" s="82">
        <f>IFERROR(SMALL($AN$3:$AN$101,ROWS($AI$3:AI27)),"")</f>
        <v>50</v>
      </c>
      <c r="AP27" s="82">
        <f>IFERROR(SMALL($AM$3:$AM$101,ROWS($AI$3:AJ27)),"")</f>
        <v>49</v>
      </c>
    </row>
    <row r="28" spans="1:42" ht="21.75">
      <c r="A28" s="82">
        <v>26</v>
      </c>
      <c r="B28" s="82">
        <v>2101026</v>
      </c>
      <c r="C28" s="82" t="s">
        <v>251</v>
      </c>
      <c r="D28" s="82" t="s">
        <v>158</v>
      </c>
      <c r="E28" s="80" t="s">
        <v>188</v>
      </c>
      <c r="F28" s="82">
        <v>53</v>
      </c>
      <c r="G28" s="82" t="s">
        <v>12</v>
      </c>
      <c r="H28" s="93">
        <v>44125</v>
      </c>
      <c r="I28" s="82">
        <v>12729</v>
      </c>
      <c r="J28" s="82">
        <v>0.01</v>
      </c>
      <c r="K28" s="82">
        <v>127.29</v>
      </c>
      <c r="N28" s="82" t="str">
        <f t="shared" si="23"/>
        <v>266 อาคารทาวเวอร์ ถนนรอบเมืองนอก แขวงในเมือง เขตเมือง ลำพูน 12345</v>
      </c>
      <c r="O28" s="82">
        <f t="shared" si="0"/>
        <v>53</v>
      </c>
      <c r="P28" s="82" t="str">
        <f t="shared" si="1"/>
        <v>02520XXX40838</v>
      </c>
      <c r="Q28" s="82" t="str">
        <f t="shared" si="2"/>
        <v>ตัวอย่าง82</v>
      </c>
      <c r="R28" s="82" t="str">
        <f t="shared" si="3"/>
        <v>ทาวเวอร์</v>
      </c>
      <c r="S28" s="82" t="str">
        <f t="shared" si="4"/>
        <v/>
      </c>
      <c r="T28" s="82" t="str">
        <f t="shared" si="5"/>
        <v/>
      </c>
      <c r="U28" s="82" t="str">
        <f t="shared" si="6"/>
        <v>266</v>
      </c>
      <c r="V28" s="82" t="str">
        <f t="shared" si="7"/>
        <v/>
      </c>
      <c r="W28" s="82" t="str">
        <f t="shared" si="8"/>
        <v/>
      </c>
      <c r="X28" s="82" t="str">
        <f t="shared" si="9"/>
        <v>รอบเมืองนอก</v>
      </c>
      <c r="Y28" s="82" t="str">
        <f t="shared" si="10"/>
        <v>ในเมือง</v>
      </c>
      <c r="Z28" s="82" t="str">
        <f t="shared" si="11"/>
        <v/>
      </c>
      <c r="AA28" s="82" t="str">
        <f t="shared" si="12"/>
        <v>เมือง</v>
      </c>
      <c r="AB28" s="82" t="str">
        <f t="shared" si="13"/>
        <v>ลำพูน</v>
      </c>
      <c r="AC28" s="82" t="str">
        <f t="shared" si="14"/>
        <v>12345</v>
      </c>
      <c r="AD28" s="85">
        <f t="shared" si="15"/>
        <v>242451</v>
      </c>
      <c r="AE28" s="82">
        <f t="shared" si="16"/>
        <v>1</v>
      </c>
      <c r="AF28" s="83">
        <f t="shared" si="17"/>
        <v>12729</v>
      </c>
      <c r="AG28" s="83">
        <f t="shared" si="18"/>
        <v>127.29</v>
      </c>
      <c r="AH28" s="82" t="str">
        <f t="shared" si="19"/>
        <v>ค่าขนส่ง</v>
      </c>
      <c r="AI28" s="82" t="str">
        <f t="shared" si="20"/>
        <v/>
      </c>
      <c r="AJ28" s="82" t="str">
        <f t="shared" si="21"/>
        <v/>
      </c>
      <c r="AK28" s="82" t="str">
        <f t="shared" si="22"/>
        <v/>
      </c>
      <c r="AL28" s="82">
        <f>IF(ISBLANK(AH28)=TRUE,"",ROWS($AI$3:AI28))</f>
        <v>26</v>
      </c>
      <c r="AM28" s="82" t="str">
        <f>IF('Portfolio 3'!$A$2=O28,AL28,"")</f>
        <v/>
      </c>
      <c r="AN28" s="82">
        <f>IF(O28='Portfolio 3'!$A$104,AL28,"")</f>
        <v>26</v>
      </c>
      <c r="AO28" s="82">
        <f>IFERROR(SMALL($AN$3:$AN$101,ROWS($AI$3:AI28)),"")</f>
        <v>58</v>
      </c>
      <c r="AP28" s="82">
        <f>IFERROR(SMALL($AM$3:$AM$101,ROWS($AI$3:AJ28)),"")</f>
        <v>51</v>
      </c>
    </row>
    <row r="29" spans="1:42" ht="21.75">
      <c r="A29" s="82">
        <v>27</v>
      </c>
      <c r="B29" s="82">
        <v>2101027</v>
      </c>
      <c r="C29" s="82" t="s">
        <v>252</v>
      </c>
      <c r="D29" s="82" t="s">
        <v>160</v>
      </c>
      <c r="E29" s="80" t="s">
        <v>189</v>
      </c>
      <c r="F29" s="82">
        <v>53</v>
      </c>
      <c r="G29" s="82" t="s">
        <v>69</v>
      </c>
      <c r="H29" s="93">
        <v>44076</v>
      </c>
      <c r="I29" s="82">
        <v>21975</v>
      </c>
      <c r="J29" s="82">
        <v>0.01</v>
      </c>
      <c r="K29" s="82">
        <v>219.75</v>
      </c>
      <c r="N29" s="82" t="str">
        <f t="shared" si="23"/>
        <v>273 หมู่ 3 ถนนพหลโยธิน แยก 3 แขวงศาลา เขตเกาะคา ลำปาง 12345</v>
      </c>
      <c r="O29" s="82">
        <f t="shared" si="0"/>
        <v>53</v>
      </c>
      <c r="P29" s="82" t="str">
        <f t="shared" si="1"/>
        <v>01010XXX41250</v>
      </c>
      <c r="Q29" s="82" t="str">
        <f t="shared" si="2"/>
        <v>ซื้อแล้วรวย12</v>
      </c>
      <c r="R29" s="82" t="str">
        <f t="shared" si="3"/>
        <v/>
      </c>
      <c r="S29" s="82" t="str">
        <f t="shared" si="4"/>
        <v/>
      </c>
      <c r="T29" s="82" t="str">
        <f t="shared" si="5"/>
        <v/>
      </c>
      <c r="U29" s="82" t="str">
        <f t="shared" si="6"/>
        <v>273</v>
      </c>
      <c r="V29" s="82" t="str">
        <f t="shared" si="7"/>
        <v>3</v>
      </c>
      <c r="W29" s="82" t="str">
        <f t="shared" si="8"/>
        <v/>
      </c>
      <c r="X29" s="82" t="str">
        <f t="shared" si="9"/>
        <v>พหลโยธิน</v>
      </c>
      <c r="Y29" s="82" t="str">
        <f t="shared" si="10"/>
        <v>ศาลา</v>
      </c>
      <c r="Z29" s="82" t="str">
        <f t="shared" si="11"/>
        <v xml:space="preserve"> 3</v>
      </c>
      <c r="AA29" s="82" t="str">
        <f t="shared" si="12"/>
        <v>เกาะคา</v>
      </c>
      <c r="AB29" s="82" t="str">
        <f t="shared" si="13"/>
        <v>ลำปาง</v>
      </c>
      <c r="AC29" s="82" t="str">
        <f t="shared" si="14"/>
        <v>12345</v>
      </c>
      <c r="AD29" s="85">
        <f t="shared" si="15"/>
        <v>242402</v>
      </c>
      <c r="AE29" s="82">
        <f t="shared" si="16"/>
        <v>1</v>
      </c>
      <c r="AF29" s="83">
        <f t="shared" si="17"/>
        <v>21975</v>
      </c>
      <c r="AG29" s="83">
        <f t="shared" si="18"/>
        <v>219.75</v>
      </c>
      <c r="AH29" s="82" t="str">
        <f t="shared" si="19"/>
        <v>ค่าเบี้ยประกัน</v>
      </c>
      <c r="AI29" s="82" t="str">
        <f t="shared" si="20"/>
        <v/>
      </c>
      <c r="AJ29" s="82" t="str">
        <f t="shared" si="21"/>
        <v/>
      </c>
      <c r="AK29" s="82" t="str">
        <f t="shared" si="22"/>
        <v/>
      </c>
      <c r="AL29" s="82">
        <f>IF(ISBLANK(AH29)=TRUE,"",ROWS($AI$3:AI29))</f>
        <v>27</v>
      </c>
      <c r="AM29" s="82" t="str">
        <f>IF('Portfolio 3'!$A$2=O29,AL29,"")</f>
        <v/>
      </c>
      <c r="AN29" s="82">
        <f>IF(O29='Portfolio 3'!$A$104,AL29,"")</f>
        <v>27</v>
      </c>
      <c r="AO29" s="82" t="str">
        <f>IFERROR(SMALL($AN$3:$AN$101,ROWS($AI$3:AI29)),"")</f>
        <v/>
      </c>
      <c r="AP29" s="82">
        <f>IFERROR(SMALL($AM$3:$AM$101,ROWS($AI$3:AJ29)),"")</f>
        <v>52</v>
      </c>
    </row>
    <row r="30" spans="1:42" ht="21.75">
      <c r="A30" s="82">
        <v>28</v>
      </c>
      <c r="B30" s="82">
        <v>2101028</v>
      </c>
      <c r="C30" s="82" t="s">
        <v>253</v>
      </c>
      <c r="D30" s="82" t="s">
        <v>98</v>
      </c>
      <c r="E30" s="80" t="s">
        <v>190</v>
      </c>
      <c r="F30" s="82">
        <v>53</v>
      </c>
      <c r="G30" s="82" t="s">
        <v>11</v>
      </c>
      <c r="H30" s="93">
        <v>43574</v>
      </c>
      <c r="I30" s="82">
        <v>18409</v>
      </c>
      <c r="J30" s="82">
        <v>0.03</v>
      </c>
      <c r="K30" s="82">
        <v>552.27</v>
      </c>
      <c r="N30" s="82" t="str">
        <f t="shared" si="23"/>
        <v>286 หมู่ 5 ถนน น่าน-ทุ่งช้าง แขวงท่าวังผา เขตท่าวังผา น่าน 12345</v>
      </c>
      <c r="O30" s="82">
        <f t="shared" si="0"/>
        <v>53</v>
      </c>
      <c r="P30" s="82" t="str">
        <f t="shared" si="1"/>
        <v>01011XXX96557</v>
      </c>
      <c r="Q30" s="82" t="str">
        <f t="shared" si="2"/>
        <v>ซื้อแล้วรวย44</v>
      </c>
      <c r="R30" s="82" t="str">
        <f t="shared" si="3"/>
        <v/>
      </c>
      <c r="S30" s="82" t="str">
        <f t="shared" si="4"/>
        <v/>
      </c>
      <c r="T30" s="82" t="str">
        <f t="shared" si="5"/>
        <v/>
      </c>
      <c r="U30" s="82" t="str">
        <f t="shared" si="6"/>
        <v>286</v>
      </c>
      <c r="V30" s="82" t="str">
        <f t="shared" si="7"/>
        <v>5</v>
      </c>
      <c r="W30" s="82" t="str">
        <f t="shared" si="8"/>
        <v/>
      </c>
      <c r="X30" s="82" t="str">
        <f t="shared" si="9"/>
        <v/>
      </c>
      <c r="Y30" s="82" t="str">
        <f t="shared" si="10"/>
        <v>ท่าวังผา</v>
      </c>
      <c r="Z30" s="82" t="str">
        <f t="shared" si="11"/>
        <v/>
      </c>
      <c r="AA30" s="82" t="str">
        <f t="shared" si="12"/>
        <v>ท่าวังผา</v>
      </c>
      <c r="AB30" s="82" t="str">
        <f t="shared" si="13"/>
        <v>น่าน</v>
      </c>
      <c r="AC30" s="82" t="str">
        <f t="shared" si="14"/>
        <v>12345</v>
      </c>
      <c r="AD30" s="85">
        <f t="shared" si="15"/>
        <v>241901</v>
      </c>
      <c r="AE30" s="82">
        <f t="shared" si="16"/>
        <v>3</v>
      </c>
      <c r="AF30" s="83">
        <f t="shared" si="17"/>
        <v>18409</v>
      </c>
      <c r="AG30" s="83">
        <f t="shared" si="18"/>
        <v>552.27</v>
      </c>
      <c r="AH30" s="82" t="str">
        <f t="shared" si="19"/>
        <v>ค่าบริการ</v>
      </c>
      <c r="AI30" s="82" t="str">
        <f t="shared" si="20"/>
        <v/>
      </c>
      <c r="AJ30" s="82" t="str">
        <f t="shared" si="21"/>
        <v/>
      </c>
      <c r="AK30" s="82" t="str">
        <f t="shared" si="22"/>
        <v/>
      </c>
      <c r="AL30" s="82">
        <f>IF(ISBLANK(AH30)=TRUE,"",ROWS($AI$3:AI30))</f>
        <v>28</v>
      </c>
      <c r="AM30" s="82" t="str">
        <f>IF('Portfolio 3'!$A$2=O30,AL30,"")</f>
        <v/>
      </c>
      <c r="AN30" s="82">
        <f>IF(O30='Portfolio 3'!$A$104,AL30,"")</f>
        <v>28</v>
      </c>
      <c r="AO30" s="82" t="str">
        <f>IFERROR(SMALL($AN$3:$AN$101,ROWS($AI$3:AI30)),"")</f>
        <v/>
      </c>
      <c r="AP30" s="82">
        <f>IFERROR(SMALL($AM$3:$AM$101,ROWS($AI$3:AJ30)),"")</f>
        <v>53</v>
      </c>
    </row>
    <row r="31" spans="1:42" ht="21.75">
      <c r="A31" s="82">
        <v>29</v>
      </c>
      <c r="B31" s="82">
        <v>2101029</v>
      </c>
      <c r="C31" s="82" t="s">
        <v>254</v>
      </c>
      <c r="D31" s="82" t="s">
        <v>99</v>
      </c>
      <c r="E31" s="80" t="s">
        <v>191</v>
      </c>
      <c r="F31" s="82">
        <v>53</v>
      </c>
      <c r="G31" s="82" t="s">
        <v>11</v>
      </c>
      <c r="H31" s="93">
        <v>44040</v>
      </c>
      <c r="I31" s="82">
        <v>26741</v>
      </c>
      <c r="J31" s="82">
        <v>0.03</v>
      </c>
      <c r="K31" s="82">
        <v>802.23</v>
      </c>
      <c r="N31" s="82" t="str">
        <f t="shared" si="23"/>
        <v>29 ถนน ประเวศน์เหนือ แขวงบางมูลนาก เขตบางมูลนาก 12345</v>
      </c>
      <c r="O31" s="82">
        <f t="shared" si="0"/>
        <v>53</v>
      </c>
      <c r="P31" s="82" t="str">
        <f t="shared" si="1"/>
        <v>09197XXX06367</v>
      </c>
      <c r="Q31" s="82" t="str">
        <f t="shared" si="2"/>
        <v>นายอยากจะรวยอาคมแรงสามสิบห้า</v>
      </c>
      <c r="R31" s="82" t="str">
        <f t="shared" si="3"/>
        <v/>
      </c>
      <c r="S31" s="82" t="str">
        <f t="shared" si="4"/>
        <v/>
      </c>
      <c r="T31" s="82" t="str">
        <f t="shared" si="5"/>
        <v/>
      </c>
      <c r="U31" s="82" t="str">
        <f t="shared" si="6"/>
        <v>29</v>
      </c>
      <c r="V31" s="82" t="str">
        <f t="shared" si="7"/>
        <v/>
      </c>
      <c r="W31" s="82" t="str">
        <f t="shared" si="8"/>
        <v/>
      </c>
      <c r="X31" s="82" t="str">
        <f t="shared" si="9"/>
        <v/>
      </c>
      <c r="Y31" s="82" t="str">
        <f t="shared" si="10"/>
        <v>บางมูลนาก</v>
      </c>
      <c r="Z31" s="82" t="str">
        <f t="shared" si="11"/>
        <v/>
      </c>
      <c r="AA31" s="82" t="str">
        <f t="shared" si="12"/>
        <v>บางมูลนาก</v>
      </c>
      <c r="AB31" s="82" t="str">
        <f t="shared" si="13"/>
        <v>เขตบางมูลนาก</v>
      </c>
      <c r="AC31" s="82" t="str">
        <f t="shared" si="14"/>
        <v>12345</v>
      </c>
      <c r="AD31" s="85">
        <f t="shared" si="15"/>
        <v>242366</v>
      </c>
      <c r="AE31" s="82">
        <f t="shared" si="16"/>
        <v>3</v>
      </c>
      <c r="AF31" s="83">
        <f t="shared" si="17"/>
        <v>26741</v>
      </c>
      <c r="AG31" s="83">
        <f t="shared" si="18"/>
        <v>802.23</v>
      </c>
      <c r="AH31" s="82" t="str">
        <f t="shared" si="19"/>
        <v>ค่าบริการ</v>
      </c>
      <c r="AI31" s="82" t="str">
        <f t="shared" si="20"/>
        <v/>
      </c>
      <c r="AJ31" s="82" t="str">
        <f t="shared" si="21"/>
        <v/>
      </c>
      <c r="AK31" s="82" t="str">
        <f t="shared" si="22"/>
        <v/>
      </c>
      <c r="AL31" s="82">
        <f>IF(ISBLANK(AH31)=TRUE,"",ROWS($AI$3:AI31))</f>
        <v>29</v>
      </c>
      <c r="AM31" s="82" t="str">
        <f>IF('Portfolio 3'!$A$2=O31,AL31,"")</f>
        <v/>
      </c>
      <c r="AN31" s="82">
        <f>IF(O31='Portfolio 3'!$A$104,AL31,"")</f>
        <v>29</v>
      </c>
      <c r="AO31" s="82" t="str">
        <f>IFERROR(SMALL($AN$3:$AN$101,ROWS($AI$3:AI31)),"")</f>
        <v/>
      </c>
      <c r="AP31" s="82">
        <f>IFERROR(SMALL($AM$3:$AM$101,ROWS($AI$3:AJ31)),"")</f>
        <v>54</v>
      </c>
    </row>
    <row r="32" spans="1:42" ht="21.75">
      <c r="A32" s="82">
        <v>30</v>
      </c>
      <c r="B32" s="82">
        <v>2101030</v>
      </c>
      <c r="C32" s="82" t="s">
        <v>255</v>
      </c>
      <c r="D32" s="82" t="s">
        <v>100</v>
      </c>
      <c r="E32" s="80" t="s">
        <v>192</v>
      </c>
      <c r="F32" s="82">
        <v>53</v>
      </c>
      <c r="G32" s="82" t="s">
        <v>11</v>
      </c>
      <c r="H32" s="93">
        <v>44371</v>
      </c>
      <c r="I32" s="82">
        <v>15973</v>
      </c>
      <c r="J32" s="82">
        <v>0.03</v>
      </c>
      <c r="K32" s="82">
        <v>479.19</v>
      </c>
      <c r="N32" s="82" t="str">
        <f t="shared" si="23"/>
        <v>30/35 ม.35 แขวงคลองตาล เขตศรีสำโรง สุโขทัย 12345</v>
      </c>
      <c r="O32" s="82">
        <f t="shared" si="0"/>
        <v>53</v>
      </c>
      <c r="P32" s="82" t="str">
        <f t="shared" si="1"/>
        <v>04080XXX71785</v>
      </c>
      <c r="Q32" s="82" t="str">
        <f t="shared" si="2"/>
        <v>นางซื้อแล้วรวยโตแล้วโตหกสิบห้า</v>
      </c>
      <c r="R32" s="82" t="str">
        <f t="shared" si="3"/>
        <v/>
      </c>
      <c r="S32" s="82" t="str">
        <f t="shared" si="4"/>
        <v/>
      </c>
      <c r="T32" s="82" t="str">
        <f t="shared" si="5"/>
        <v/>
      </c>
      <c r="U32" s="82" t="str">
        <f t="shared" si="6"/>
        <v>30/35</v>
      </c>
      <c r="V32" s="82" t="str">
        <f t="shared" si="7"/>
        <v/>
      </c>
      <c r="W32" s="82" t="str">
        <f t="shared" si="8"/>
        <v/>
      </c>
      <c r="X32" s="82" t="str">
        <f t="shared" si="9"/>
        <v/>
      </c>
      <c r="Y32" s="82" t="str">
        <f t="shared" si="10"/>
        <v>คลองตาล</v>
      </c>
      <c r="Z32" s="82" t="str">
        <f t="shared" si="11"/>
        <v/>
      </c>
      <c r="AA32" s="82" t="str">
        <f t="shared" si="12"/>
        <v>ศรีสำโรง</v>
      </c>
      <c r="AB32" s="82" t="str">
        <f t="shared" si="13"/>
        <v>สุโขทัย</v>
      </c>
      <c r="AC32" s="82" t="str">
        <f t="shared" si="14"/>
        <v>12345</v>
      </c>
      <c r="AD32" s="85">
        <f t="shared" si="15"/>
        <v>242698</v>
      </c>
      <c r="AE32" s="82">
        <f t="shared" si="16"/>
        <v>3</v>
      </c>
      <c r="AF32" s="83">
        <f t="shared" si="17"/>
        <v>15973</v>
      </c>
      <c r="AG32" s="83">
        <f t="shared" si="18"/>
        <v>479.19</v>
      </c>
      <c r="AH32" s="82" t="str">
        <f t="shared" si="19"/>
        <v>ค่าบริการ</v>
      </c>
      <c r="AI32" s="82" t="str">
        <f t="shared" si="20"/>
        <v/>
      </c>
      <c r="AJ32" s="82" t="str">
        <f t="shared" si="21"/>
        <v/>
      </c>
      <c r="AK32" s="82" t="str">
        <f t="shared" si="22"/>
        <v/>
      </c>
      <c r="AL32" s="82">
        <f>IF(ISBLANK(AH32)=TRUE,"",ROWS($AI$3:AI32))</f>
        <v>30</v>
      </c>
      <c r="AM32" s="82" t="str">
        <f>IF('Portfolio 3'!$A$2=O32,AL32,"")</f>
        <v/>
      </c>
      <c r="AN32" s="82">
        <f>IF(O32='Portfolio 3'!$A$104,AL32,"")</f>
        <v>30</v>
      </c>
      <c r="AO32" s="82" t="str">
        <f>IFERROR(SMALL($AN$3:$AN$101,ROWS($AI$3:AI32)),"")</f>
        <v/>
      </c>
      <c r="AP32" s="82">
        <f>IFERROR(SMALL($AM$3:$AM$101,ROWS($AI$3:AJ32)),"")</f>
        <v>55</v>
      </c>
    </row>
    <row r="33" spans="1:42" ht="21.75">
      <c r="A33" s="82">
        <v>31</v>
      </c>
      <c r="B33" s="82">
        <v>2101031</v>
      </c>
      <c r="C33" s="82" t="s">
        <v>256</v>
      </c>
      <c r="D33" s="82" t="s">
        <v>101</v>
      </c>
      <c r="E33" s="80" t="s">
        <v>193</v>
      </c>
      <c r="F33" s="82">
        <v>3</v>
      </c>
      <c r="G33" s="82" t="s">
        <v>11</v>
      </c>
      <c r="H33" s="93">
        <v>44418</v>
      </c>
      <c r="I33" s="82">
        <v>20069</v>
      </c>
      <c r="J33" s="82">
        <v>0.03</v>
      </c>
      <c r="K33" s="82">
        <v>602.06999999999994</v>
      </c>
      <c r="N33" s="82" t="str">
        <f t="shared" si="23"/>
        <v>3354 ม.35 ถนนพหลโยธิน แขวงเวียงพางคำ เขตแม่สาย เชียงราย 12345</v>
      </c>
      <c r="O33" s="82">
        <f t="shared" si="0"/>
        <v>3</v>
      </c>
      <c r="P33" s="82" t="str">
        <f t="shared" si="1"/>
        <v>02498XXX70848</v>
      </c>
      <c r="Q33" s="82" t="str">
        <f t="shared" si="2"/>
        <v>พิ่งเปิด62</v>
      </c>
      <c r="R33" s="82" t="str">
        <f t="shared" si="3"/>
        <v/>
      </c>
      <c r="S33" s="82" t="str">
        <f t="shared" si="4"/>
        <v/>
      </c>
      <c r="T33" s="82" t="str">
        <f t="shared" si="5"/>
        <v/>
      </c>
      <c r="U33" s="82" t="str">
        <f t="shared" si="6"/>
        <v>3354</v>
      </c>
      <c r="V33" s="82" t="str">
        <f t="shared" si="7"/>
        <v/>
      </c>
      <c r="W33" s="82" t="str">
        <f t="shared" si="8"/>
        <v/>
      </c>
      <c r="X33" s="82" t="str">
        <f t="shared" si="9"/>
        <v>พหลโยธิน</v>
      </c>
      <c r="Y33" s="82" t="str">
        <f t="shared" si="10"/>
        <v>เวียงพางคำ</v>
      </c>
      <c r="Z33" s="82" t="str">
        <f t="shared" si="11"/>
        <v/>
      </c>
      <c r="AA33" s="82" t="str">
        <f t="shared" si="12"/>
        <v>แม่สาย</v>
      </c>
      <c r="AB33" s="82" t="str">
        <f t="shared" si="13"/>
        <v>เชียงราย</v>
      </c>
      <c r="AC33" s="82" t="str">
        <f t="shared" si="14"/>
        <v>12345</v>
      </c>
      <c r="AD33" s="85">
        <f t="shared" si="15"/>
        <v>242745</v>
      </c>
      <c r="AE33" s="82">
        <f t="shared" si="16"/>
        <v>3</v>
      </c>
      <c r="AF33" s="83">
        <f t="shared" si="17"/>
        <v>20069</v>
      </c>
      <c r="AG33" s="83">
        <f t="shared" si="18"/>
        <v>602.06999999999994</v>
      </c>
      <c r="AH33" s="82" t="str">
        <f t="shared" si="19"/>
        <v>ค่าบริการ</v>
      </c>
      <c r="AI33" s="82" t="str">
        <f t="shared" si="20"/>
        <v>พิ่งเปิด</v>
      </c>
      <c r="AJ33" s="82" t="str">
        <f t="shared" si="21"/>
        <v>62 จำกัด</v>
      </c>
      <c r="AK33" s="82" t="str">
        <f t="shared" si="22"/>
        <v>บริษัท</v>
      </c>
      <c r="AL33" s="82">
        <f>IF(ISBLANK(AH33)=TRUE,"",ROWS($AI$3:AI33))</f>
        <v>31</v>
      </c>
      <c r="AM33" s="82">
        <f>IF('Portfolio 3'!$A$2=O33,AL33,"")</f>
        <v>31</v>
      </c>
      <c r="AN33" s="82" t="str">
        <f>IF(O33='Portfolio 3'!$A$104,AL33,"")</f>
        <v/>
      </c>
      <c r="AO33" s="82" t="str">
        <f>IFERROR(SMALL($AN$3:$AN$101,ROWS($AI$3:AI33)),"")</f>
        <v/>
      </c>
      <c r="AP33" s="82">
        <f>IFERROR(SMALL($AM$3:$AM$101,ROWS($AI$3:AJ33)),"")</f>
        <v>56</v>
      </c>
    </row>
    <row r="34" spans="1:42" ht="21.75">
      <c r="A34" s="82">
        <v>32</v>
      </c>
      <c r="B34" s="82">
        <v>2101032</v>
      </c>
      <c r="C34" s="82" t="s">
        <v>249</v>
      </c>
      <c r="D34" s="82" t="s">
        <v>102</v>
      </c>
      <c r="E34" s="80" t="s">
        <v>194</v>
      </c>
      <c r="F34" s="82">
        <v>3</v>
      </c>
      <c r="G34" s="82" t="s">
        <v>11</v>
      </c>
      <c r="H34" s="93">
        <v>44134</v>
      </c>
      <c r="I34" s="82">
        <v>18722</v>
      </c>
      <c r="J34" s="82">
        <v>0.03</v>
      </c>
      <c r="K34" s="82">
        <v>561.66</v>
      </c>
      <c r="N34" s="82" t="str">
        <f t="shared" si="23"/>
        <v>322 หมู่ 35 แขวงท่าสายลวด เขตแม่สอด ตาก 12345</v>
      </c>
      <c r="O34" s="82">
        <f t="shared" si="0"/>
        <v>3</v>
      </c>
      <c r="P34" s="82" t="str">
        <f t="shared" si="1"/>
        <v>04539XXX42872</v>
      </c>
      <c r="Q34" s="82" t="str">
        <f t="shared" si="2"/>
        <v>พิ่งเปิด74</v>
      </c>
      <c r="R34" s="82" t="str">
        <f t="shared" si="3"/>
        <v/>
      </c>
      <c r="S34" s="82" t="str">
        <f t="shared" si="4"/>
        <v/>
      </c>
      <c r="T34" s="82" t="str">
        <f t="shared" si="5"/>
        <v/>
      </c>
      <c r="U34" s="82" t="str">
        <f t="shared" si="6"/>
        <v>322</v>
      </c>
      <c r="V34" s="82" t="str">
        <f t="shared" si="7"/>
        <v>35</v>
      </c>
      <c r="W34" s="82" t="str">
        <f t="shared" si="8"/>
        <v/>
      </c>
      <c r="X34" s="82" t="str">
        <f t="shared" si="9"/>
        <v/>
      </c>
      <c r="Y34" s="82" t="str">
        <f t="shared" si="10"/>
        <v>ท่าสายลวด</v>
      </c>
      <c r="Z34" s="82" t="str">
        <f t="shared" si="11"/>
        <v/>
      </c>
      <c r="AA34" s="82" t="str">
        <f t="shared" si="12"/>
        <v>แม่สอด</v>
      </c>
      <c r="AB34" s="82" t="str">
        <f t="shared" si="13"/>
        <v>ตาก</v>
      </c>
      <c r="AC34" s="82" t="str">
        <f t="shared" si="14"/>
        <v>12345</v>
      </c>
      <c r="AD34" s="85">
        <f t="shared" si="15"/>
        <v>242460</v>
      </c>
      <c r="AE34" s="82">
        <f t="shared" si="16"/>
        <v>3</v>
      </c>
      <c r="AF34" s="83">
        <f t="shared" si="17"/>
        <v>18722</v>
      </c>
      <c r="AG34" s="83">
        <f t="shared" si="18"/>
        <v>561.66</v>
      </c>
      <c r="AH34" s="82" t="str">
        <f t="shared" si="19"/>
        <v>ค่าบริการ</v>
      </c>
      <c r="AI34" s="82" t="str">
        <f t="shared" si="20"/>
        <v>พิ่งเปิด</v>
      </c>
      <c r="AJ34" s="82" t="str">
        <f t="shared" si="21"/>
        <v>74 จำกัด</v>
      </c>
      <c r="AK34" s="82" t="str">
        <f t="shared" si="22"/>
        <v>บริษัท</v>
      </c>
      <c r="AL34" s="82">
        <f>IF(ISBLANK(AH34)=TRUE,"",ROWS($AI$3:AI34))</f>
        <v>32</v>
      </c>
      <c r="AM34" s="82">
        <f>IF('Portfolio 3'!$A$2=O34,AL34,"")</f>
        <v>32</v>
      </c>
      <c r="AN34" s="82" t="str">
        <f>IF(O34='Portfolio 3'!$A$104,AL34,"")</f>
        <v/>
      </c>
      <c r="AO34" s="82" t="str">
        <f>IFERROR(SMALL($AN$3:$AN$101,ROWS($AI$3:AI34)),"")</f>
        <v/>
      </c>
      <c r="AP34" s="82">
        <f>IFERROR(SMALL($AM$3:$AM$101,ROWS($AI$3:AJ34)),"")</f>
        <v>57</v>
      </c>
    </row>
    <row r="35" spans="1:42" ht="21.75">
      <c r="A35" s="82">
        <v>33</v>
      </c>
      <c r="B35" s="82">
        <v>2101033</v>
      </c>
      <c r="C35" s="82" t="s">
        <v>257</v>
      </c>
      <c r="D35" s="82" t="s">
        <v>103</v>
      </c>
      <c r="E35" s="80" t="s">
        <v>195</v>
      </c>
      <c r="F35" s="82">
        <v>3</v>
      </c>
      <c r="G35" s="82" t="s">
        <v>11</v>
      </c>
      <c r="H35" s="93">
        <v>44142</v>
      </c>
      <c r="I35" s="82">
        <v>15424</v>
      </c>
      <c r="J35" s="82">
        <v>0.03</v>
      </c>
      <c r="K35" s="82">
        <v>462.71999999999997</v>
      </c>
      <c r="N35" s="82" t="str">
        <f t="shared" si="23"/>
        <v>330 ถนนเชียงใหม่-ลำปาง แขวงป่าตัน เขตเมือง เชียงใหม่ 12345</v>
      </c>
      <c r="O35" s="82">
        <f t="shared" ref="O35:O66" si="24">IF(ISBLANK(F35)=TRUE,"",F35)</f>
        <v>3</v>
      </c>
      <c r="P35" s="82" t="str">
        <f t="shared" ref="P35:P66" si="25">SUBSTITUTE(E35," ","")</f>
        <v>06620XXX77062</v>
      </c>
      <c r="Q35" s="82" t="str">
        <f t="shared" ref="Q35:Q66" si="26">SUBSTITUTE(SUBSTITUTE(SUBSTITUTE(SUBSTITUTE(SUBSTITUTE(SUBSTITUTE(SUBSTITUTE(SUBSTITUTE(SUBSTITUTE(SUBSTITUTE(C35," ",""),"บริษัท",""),"จำกัด",""),"(HeadOffice)",""),"Limited",""),"Co.,Ltd.",""),"PublicCompany",""),"สำนักงานใหญ่",""),"มหาชน",""),"()","")</f>
        <v>นายอยากจะรวยอาคมแรงสามสิบเก้า</v>
      </c>
      <c r="R35" s="82" t="str">
        <f t="shared" ref="R35:R66" si="27">IF(ISNUMBER(FIND(R$2,$D35)),MID($N35,(FIND(R$2,$D35))+5,FIND(" ",$N35,(FIND(R$2,$D35)))-(FIND(R$2,$D35)+5)),"")</f>
        <v/>
      </c>
      <c r="S35" s="82" t="str">
        <f t="shared" ref="S35:S66" si="28">IFERROR(MID($N35,FIND(" ",$N35,FIND(S$2,$N35)),FIND(" ",$N35,FIND(" ",$N35,FIND(S$2,$N35))+1)-(FIND(" ",$N35,FIND(S$2,$N35))))*1,"")</f>
        <v/>
      </c>
      <c r="T35" s="82" t="str">
        <f t="shared" ref="T35:T66" si="29">IFERROR(MID($N35,FIND(" ",$N35,FIND(T$2,$N35)),(FIND(" ",$N35,FIND(" ",$N35,FIND(T$2,$N35))+1)-FIND(" ",$N35,FIND(T$2,$N35)))),"")</f>
        <v/>
      </c>
      <c r="U35" s="82" t="str">
        <f t="shared" ref="U35:U63" si="30">IFERROR(LEFT(N35,(FIND(" ",N35))-1),"")</f>
        <v>330</v>
      </c>
      <c r="V35" s="82" t="str">
        <f t="shared" ref="V35:V66" si="31">IF(ISNUMBER(FIND($V$2,$N35))=TRUE,MID($N35,FIND(V$2,$N35)+1+(FIND(" ",$N35,FIND(V$2,$N35))-FIND(V$2,$N35)),(FIND(" ",$N35,FIND(" ",$N35,FIND(V$2,$N35))+1)-FIND(" ",$N35,FIND(V$2,$N35)))-1),"")</f>
        <v/>
      </c>
      <c r="W35" s="82" t="str">
        <f t="shared" ref="W35:W66" si="32">IF(ISNUMBER(FIND(W$2,$N35))=TRUE,IFERROR(MID($N35,FIND(W$2,$N35)+3,(FIND(" ",$N35,FIND(W$2,$N35))-FIND(W$2,$N35))-3),""),"")</f>
        <v/>
      </c>
      <c r="X35" s="82" t="str">
        <f t="shared" ref="X35:X66" si="33">IFERROR(MID($N35,FIND(X$2,$N35)+3,(FIND(" ",$N35,FIND(X$2,$N35))-FIND(X$2,$N35))-3),"")</f>
        <v>เชียงใหม่-ลำปาง</v>
      </c>
      <c r="Y35" s="82" t="str">
        <f t="shared" ref="Y35:Y66" si="34">IF(ISNUMBER(FIND($Y$2,$N35))=TRUE,IFERROR(MID($N35,FIND(Y$2,$N35)+4,(FIND(" ",$N35,FIND(Y$2,$N35))-FIND(Y$2,$N35))-4),""),"")</f>
        <v>ป่าตัน</v>
      </c>
      <c r="Z35" s="82" t="str">
        <f t="shared" ref="Z35:Z66" si="35">IFERROR(MID($N35,FIND(Z$2,$N35)+3,(FIND(" ",$N35,FIND(" ",$N35,FIND(Z$2,$N35))+1))-FIND(" ",$N35,FIND(Z$2,$N35))),"")</f>
        <v/>
      </c>
      <c r="AA35" s="82" t="str">
        <f t="shared" ref="AA35:AA66" si="36">IF(ISNUMBER(FIND($AA$2,$N35))=TRUE,IFERROR(MID($N35,FIND(AA$2,$N35)+3,(FIND(" ",$N35,FIND(AA$2,$N35))-FIND(AA$2,$N35))-3),""),"")</f>
        <v>เมือง</v>
      </c>
      <c r="AB35" s="82" t="str">
        <f t="shared" ref="AB35:AB63" si="37">IFERROR(SUBSTITUTE(LEFT(RIGHT(N35,(LEN(N35)-FIND("*",SUBSTITUTE(N35," ","*",LEN(N35)-LEN(SUBSTITUTE(N35," ",""))-1)))),FIND(" ",RIGHT(N35,(LEN(N35)-FIND("*",SUBSTITUTE(N35," ","*",LEN(N35)-LEN(SUBSTITUTE(N35," ",""))-1))))))," ",""),"")</f>
        <v>เชียงใหม่</v>
      </c>
      <c r="AC35" s="82" t="str">
        <f t="shared" ref="AC35:AC63" si="38">RIGHT(N35,5)</f>
        <v>12345</v>
      </c>
      <c r="AD35" s="85">
        <f t="shared" ref="AD35:AD66" si="39">IF(ISBLANK(H35)=TRUE,"",DATE(YEAR(H35)+543,MONTH(H35),DAY(H35)))</f>
        <v>242468</v>
      </c>
      <c r="AE35" s="82">
        <f t="shared" ref="AE35:AE66" si="40">IF(ISBLANK(J35)=TRUE,"",J35*100)</f>
        <v>3</v>
      </c>
      <c r="AF35" s="83">
        <f t="shared" ref="AF35:AF66" si="41">IF(ISBLANK(I35)=TRUE,"",I35)</f>
        <v>15424</v>
      </c>
      <c r="AG35" s="83">
        <f t="shared" ref="AG35:AG66" si="42">IF(ISBLANK(K35)=TRUE,"",K35)</f>
        <v>462.71999999999997</v>
      </c>
      <c r="AH35" s="82" t="str">
        <f t="shared" ref="AH35:AH66" si="43">IF(ISBLANK(G35)=TRUE,"",G35)</f>
        <v>ค่าบริการ</v>
      </c>
      <c r="AI35" s="82" t="str">
        <f t="shared" ref="AI35:AI62" si="44">IF(O35=3,MID(C35,FIND(" ",C35)+1,FIND(" ",C35,FIND(" ",C35)+1)-FIND(" ",C35)-1),"")</f>
        <v>อยากจะรวย</v>
      </c>
      <c r="AJ35" s="82" t="str">
        <f t="shared" ref="AJ35:AJ62" si="45">IFERROR(IF(O35=3,RIGHT(C35,LEN(C35)-FIND(" ",C35,FIND(" ",C35)+1)),""),"")</f>
        <v>อาคมแรงสามสิบเก้า</v>
      </c>
      <c r="AK35" s="82" t="str">
        <f t="shared" ref="AK35:AK62" si="46">IF(O35=3,LEFT(C35,FIND(" ",C35)-1),"")</f>
        <v>นาย</v>
      </c>
      <c r="AL35" s="82">
        <f>IF(ISBLANK(AH35)=TRUE,"",ROWS($AI$3:AI35))</f>
        <v>33</v>
      </c>
      <c r="AM35" s="82">
        <f>IF('Portfolio 3'!$A$2=O35,AL35,"")</f>
        <v>33</v>
      </c>
      <c r="AN35" s="82" t="str">
        <f>IF(O35='Portfolio 3'!$A$104,AL35,"")</f>
        <v/>
      </c>
      <c r="AO35" s="82" t="str">
        <f>IFERROR(SMALL($AN$3:$AN$101,ROWS($AI$3:AI35)),"")</f>
        <v/>
      </c>
      <c r="AP35" s="82" t="str">
        <f>IFERROR(SMALL($AM$3:$AM$101,ROWS($AI$3:AJ35)),"")</f>
        <v/>
      </c>
    </row>
    <row r="36" spans="1:42" ht="21.75">
      <c r="A36" s="82">
        <v>34</v>
      </c>
      <c r="B36" s="82">
        <v>2101034</v>
      </c>
      <c r="C36" s="82" t="s">
        <v>238</v>
      </c>
      <c r="D36" s="82" t="s">
        <v>104</v>
      </c>
      <c r="E36" s="80" t="s">
        <v>196</v>
      </c>
      <c r="F36" s="82">
        <v>53</v>
      </c>
      <c r="G36" s="82" t="s">
        <v>69</v>
      </c>
      <c r="H36" s="93">
        <v>44022</v>
      </c>
      <c r="I36" s="82">
        <v>18181</v>
      </c>
      <c r="J36" s="82">
        <v>0.01</v>
      </c>
      <c r="K36" s="82">
        <v>181.81</v>
      </c>
      <c r="N36" s="82" t="str">
        <f t="shared" si="23"/>
        <v>36 หมู่ 350 ถนนเชียงใหม่-สันกำแพง แขวงสันกำแพง เขตสันกำแพง เชียงใหม่ 12345</v>
      </c>
      <c r="O36" s="82">
        <f t="shared" si="24"/>
        <v>53</v>
      </c>
      <c r="P36" s="82" t="str">
        <f t="shared" si="25"/>
        <v>03928XXX54370</v>
      </c>
      <c r="Q36" s="82" t="str">
        <f t="shared" si="26"/>
        <v>นายพิ่งเปิดมาคงสัยหกสิบเอ็ด</v>
      </c>
      <c r="R36" s="82" t="str">
        <f t="shared" si="27"/>
        <v/>
      </c>
      <c r="S36" s="82" t="str">
        <f t="shared" si="28"/>
        <v/>
      </c>
      <c r="T36" s="82" t="str">
        <f t="shared" si="29"/>
        <v/>
      </c>
      <c r="U36" s="82" t="str">
        <f t="shared" si="30"/>
        <v>36</v>
      </c>
      <c r="V36" s="82" t="str">
        <f t="shared" si="31"/>
        <v>350</v>
      </c>
      <c r="W36" s="82" t="str">
        <f t="shared" si="32"/>
        <v/>
      </c>
      <c r="X36" s="82" t="str">
        <f t="shared" si="33"/>
        <v>เชียงใหม่-สันกำแพง</v>
      </c>
      <c r="Y36" s="82" t="str">
        <f t="shared" si="34"/>
        <v>สันกำแพง</v>
      </c>
      <c r="Z36" s="82" t="str">
        <f t="shared" si="35"/>
        <v/>
      </c>
      <c r="AA36" s="82" t="str">
        <f t="shared" si="36"/>
        <v>สันกำแพง</v>
      </c>
      <c r="AB36" s="82" t="str">
        <f t="shared" si="37"/>
        <v>เชียงใหม่</v>
      </c>
      <c r="AC36" s="82" t="str">
        <f t="shared" si="38"/>
        <v>12345</v>
      </c>
      <c r="AD36" s="85">
        <f t="shared" si="39"/>
        <v>242348</v>
      </c>
      <c r="AE36" s="82">
        <f t="shared" si="40"/>
        <v>1</v>
      </c>
      <c r="AF36" s="83">
        <f t="shared" si="41"/>
        <v>18181</v>
      </c>
      <c r="AG36" s="83">
        <f t="shared" si="42"/>
        <v>181.81</v>
      </c>
      <c r="AH36" s="82" t="str">
        <f t="shared" si="43"/>
        <v>ค่าเบี้ยประกัน</v>
      </c>
      <c r="AI36" s="82" t="str">
        <f t="shared" si="44"/>
        <v/>
      </c>
      <c r="AJ36" s="82" t="str">
        <f t="shared" si="45"/>
        <v/>
      </c>
      <c r="AK36" s="82" t="str">
        <f t="shared" si="46"/>
        <v/>
      </c>
      <c r="AL36" s="82">
        <f>IF(ISBLANK(AH36)=TRUE,"",ROWS($AI$3:AI36))</f>
        <v>34</v>
      </c>
      <c r="AM36" s="82" t="str">
        <f>IF('Portfolio 3'!$A$2=O36,AL36,"")</f>
        <v/>
      </c>
      <c r="AN36" s="82">
        <f>IF(O36='Portfolio 3'!$A$104,AL36,"")</f>
        <v>34</v>
      </c>
      <c r="AO36" s="82" t="str">
        <f>IFERROR(SMALL($AN$3:$AN$101,ROWS($AI$3:AI36)),"")</f>
        <v/>
      </c>
      <c r="AP36" s="82" t="str">
        <f>IFERROR(SMALL($AM$3:$AM$101,ROWS($AI$3:AJ36)),"")</f>
        <v/>
      </c>
    </row>
    <row r="37" spans="1:42" ht="21.75">
      <c r="A37" s="82">
        <v>35</v>
      </c>
      <c r="B37" s="82">
        <v>2101035</v>
      </c>
      <c r="C37" s="82" t="s">
        <v>258</v>
      </c>
      <c r="D37" s="82" t="s">
        <v>105</v>
      </c>
      <c r="E37" s="80" t="s">
        <v>197</v>
      </c>
      <c r="F37" s="82">
        <v>3</v>
      </c>
      <c r="G37" s="82" t="s">
        <v>11</v>
      </c>
      <c r="H37" s="93">
        <v>43581</v>
      </c>
      <c r="I37" s="82">
        <v>26804</v>
      </c>
      <c r="J37" s="82">
        <v>0.03</v>
      </c>
      <c r="K37" s="82">
        <v>804.12</v>
      </c>
      <c r="N37" s="82" t="str">
        <f t="shared" si="23"/>
        <v>3935 หมู่ 35 แขวงนครไทย เขตนครไทย พิษณุโลก 12345</v>
      </c>
      <c r="O37" s="82">
        <f t="shared" si="24"/>
        <v>3</v>
      </c>
      <c r="P37" s="82" t="str">
        <f t="shared" si="25"/>
        <v>09544XXX01031</v>
      </c>
      <c r="Q37" s="82" t="str">
        <f t="shared" si="26"/>
        <v>นายพิ่งเปิดมาคงสัยหกสิบเก้า</v>
      </c>
      <c r="R37" s="82" t="str">
        <f t="shared" si="27"/>
        <v/>
      </c>
      <c r="S37" s="82" t="str">
        <f t="shared" si="28"/>
        <v/>
      </c>
      <c r="T37" s="82" t="str">
        <f t="shared" si="29"/>
        <v/>
      </c>
      <c r="U37" s="82" t="str">
        <f t="shared" si="30"/>
        <v>3935</v>
      </c>
      <c r="V37" s="82" t="str">
        <f t="shared" si="31"/>
        <v>35</v>
      </c>
      <c r="W37" s="82" t="str">
        <f t="shared" si="32"/>
        <v/>
      </c>
      <c r="X37" s="82" t="str">
        <f t="shared" si="33"/>
        <v/>
      </c>
      <c r="Y37" s="82" t="str">
        <f t="shared" si="34"/>
        <v>นครไทย</v>
      </c>
      <c r="Z37" s="82" t="str">
        <f t="shared" si="35"/>
        <v/>
      </c>
      <c r="AA37" s="82" t="str">
        <f t="shared" si="36"/>
        <v>นครไทย</v>
      </c>
      <c r="AB37" s="82" t="str">
        <f t="shared" si="37"/>
        <v>พิษณุโลก</v>
      </c>
      <c r="AC37" s="82" t="str">
        <f t="shared" si="38"/>
        <v>12345</v>
      </c>
      <c r="AD37" s="85">
        <f t="shared" si="39"/>
        <v>241908</v>
      </c>
      <c r="AE37" s="82">
        <f t="shared" si="40"/>
        <v>3</v>
      </c>
      <c r="AF37" s="83">
        <f t="shared" si="41"/>
        <v>26804</v>
      </c>
      <c r="AG37" s="83">
        <f t="shared" si="42"/>
        <v>804.12</v>
      </c>
      <c r="AH37" s="82" t="str">
        <f t="shared" si="43"/>
        <v>ค่าบริการ</v>
      </c>
      <c r="AI37" s="82" t="str">
        <f t="shared" si="44"/>
        <v>พิ่งเปิด</v>
      </c>
      <c r="AJ37" s="82" t="str">
        <f t="shared" si="45"/>
        <v>มาคงสัยหกสิบเก้า</v>
      </c>
      <c r="AK37" s="82" t="str">
        <f t="shared" si="46"/>
        <v>นาย</v>
      </c>
      <c r="AL37" s="82">
        <f>IF(ISBLANK(AH37)=TRUE,"",ROWS($AI$3:AI37))</f>
        <v>35</v>
      </c>
      <c r="AM37" s="82">
        <f>IF('Portfolio 3'!$A$2=O37,AL37,"")</f>
        <v>35</v>
      </c>
      <c r="AN37" s="82" t="str">
        <f>IF(O37='Portfolio 3'!$A$104,AL37,"")</f>
        <v/>
      </c>
      <c r="AO37" s="82" t="str">
        <f>IFERROR(SMALL($AN$3:$AN$101,ROWS($AI$3:AI37)),"")</f>
        <v/>
      </c>
      <c r="AP37" s="82" t="str">
        <f>IFERROR(SMALL($AM$3:$AM$101,ROWS($AI$3:AJ37)),"")</f>
        <v/>
      </c>
    </row>
    <row r="38" spans="1:42" ht="21.75">
      <c r="A38" s="82">
        <v>36</v>
      </c>
      <c r="B38" s="82">
        <v>2101036</v>
      </c>
      <c r="C38" s="82" t="s">
        <v>259</v>
      </c>
      <c r="D38" s="82" t="s">
        <v>159</v>
      </c>
      <c r="E38" s="80" t="s">
        <v>198</v>
      </c>
      <c r="F38" s="82">
        <v>3</v>
      </c>
      <c r="G38" s="82" t="s">
        <v>11</v>
      </c>
      <c r="H38" s="93">
        <v>44235</v>
      </c>
      <c r="I38" s="82">
        <v>25280</v>
      </c>
      <c r="J38" s="84">
        <v>0.03</v>
      </c>
      <c r="K38" s="82">
        <v>758.4</v>
      </c>
      <c r="N38" s="82" t="str">
        <f t="shared" si="23"/>
        <v>399 อาคารมหาไท ห้อง 123 หมู่ 355 ถนนจอมทอง-อินทนนท์ แขวงข่วงเปา เขตจอมทอง เชียงใหม่ 12345</v>
      </c>
      <c r="O38" s="82">
        <f t="shared" si="24"/>
        <v>3</v>
      </c>
      <c r="P38" s="82" t="str">
        <f t="shared" si="25"/>
        <v>05101XXX40082</v>
      </c>
      <c r="Q38" s="82" t="str">
        <f t="shared" si="26"/>
        <v>ซื้อแล้วรวย94</v>
      </c>
      <c r="R38" s="82" t="str">
        <f t="shared" si="27"/>
        <v>มหาไท</v>
      </c>
      <c r="S38" s="82">
        <f t="shared" si="28"/>
        <v>123</v>
      </c>
      <c r="T38" s="82" t="str">
        <f t="shared" si="29"/>
        <v/>
      </c>
      <c r="U38" s="82" t="str">
        <f t="shared" si="30"/>
        <v>399</v>
      </c>
      <c r="V38" s="82" t="str">
        <f t="shared" si="31"/>
        <v>355</v>
      </c>
      <c r="W38" s="82" t="str">
        <f t="shared" si="32"/>
        <v/>
      </c>
      <c r="X38" s="82" t="str">
        <f t="shared" si="33"/>
        <v>จอมทอง-อินทนนท์</v>
      </c>
      <c r="Y38" s="82" t="str">
        <f t="shared" si="34"/>
        <v>ข่วงเปา</v>
      </c>
      <c r="Z38" s="82" t="str">
        <f t="shared" si="35"/>
        <v/>
      </c>
      <c r="AA38" s="82" t="str">
        <f t="shared" si="36"/>
        <v>จอมทอง</v>
      </c>
      <c r="AB38" s="82" t="str">
        <f t="shared" si="37"/>
        <v>เชียงใหม่</v>
      </c>
      <c r="AC38" s="82" t="str">
        <f t="shared" si="38"/>
        <v>12345</v>
      </c>
      <c r="AD38" s="85">
        <f t="shared" si="39"/>
        <v>242561</v>
      </c>
      <c r="AE38" s="82">
        <f t="shared" si="40"/>
        <v>3</v>
      </c>
      <c r="AF38" s="83">
        <f t="shared" si="41"/>
        <v>25280</v>
      </c>
      <c r="AG38" s="83">
        <f t="shared" si="42"/>
        <v>758.4</v>
      </c>
      <c r="AH38" s="82" t="str">
        <f t="shared" si="43"/>
        <v>ค่าบริการ</v>
      </c>
      <c r="AI38" s="82" t="str">
        <f t="shared" si="44"/>
        <v>ซื้อแล้วรวย</v>
      </c>
      <c r="AJ38" s="82" t="str">
        <f t="shared" si="45"/>
        <v>94 จำกัด</v>
      </c>
      <c r="AK38" s="82" t="str">
        <f t="shared" si="46"/>
        <v>บริษัท</v>
      </c>
      <c r="AL38" s="82">
        <f>IF(ISBLANK(AH38)=TRUE,"",ROWS($AI$3:AI38))</f>
        <v>36</v>
      </c>
      <c r="AM38" s="82">
        <f>IF('Portfolio 3'!$A$2=O38,AL38,"")</f>
        <v>36</v>
      </c>
      <c r="AN38" s="82" t="str">
        <f>IF(O38='Portfolio 3'!$A$104,AL38,"")</f>
        <v/>
      </c>
      <c r="AO38" s="82" t="str">
        <f>IFERROR(SMALL($AN$3:$AN$101,ROWS($AI$3:AI38)),"")</f>
        <v/>
      </c>
      <c r="AP38" s="82" t="str">
        <f>IFERROR(SMALL($AM$3:$AM$101,ROWS($AI$3:AJ38)),"")</f>
        <v/>
      </c>
    </row>
    <row r="39" spans="1:42" ht="21.75">
      <c r="A39" s="82">
        <v>37</v>
      </c>
      <c r="B39" s="82">
        <v>2101037</v>
      </c>
      <c r="C39" s="82" t="s">
        <v>260</v>
      </c>
      <c r="D39" s="82" t="s">
        <v>106</v>
      </c>
      <c r="E39" s="80" t="s">
        <v>199</v>
      </c>
      <c r="F39" s="82">
        <v>3</v>
      </c>
      <c r="G39" s="82" t="s">
        <v>11</v>
      </c>
      <c r="H39" s="93">
        <v>44364</v>
      </c>
      <c r="I39" s="82">
        <v>21390</v>
      </c>
      <c r="J39" s="84">
        <v>0.03</v>
      </c>
      <c r="K39" s="82">
        <v>641.69999999999993</v>
      </c>
      <c r="N39" s="82" t="str">
        <f t="shared" si="23"/>
        <v>440 ถนน พหลโยธิน แขวงหัวเวียง เขตเมือง ลำปาง 12345</v>
      </c>
      <c r="O39" s="82">
        <f t="shared" si="24"/>
        <v>3</v>
      </c>
      <c r="P39" s="82" t="str">
        <f t="shared" si="25"/>
        <v>05607XXX85393</v>
      </c>
      <c r="Q39" s="82" t="str">
        <f t="shared" si="26"/>
        <v>อยากจะรวย98</v>
      </c>
      <c r="R39" s="82" t="str">
        <f t="shared" si="27"/>
        <v/>
      </c>
      <c r="S39" s="82" t="str">
        <f t="shared" si="28"/>
        <v/>
      </c>
      <c r="T39" s="82" t="str">
        <f t="shared" si="29"/>
        <v/>
      </c>
      <c r="U39" s="82" t="str">
        <f t="shared" si="30"/>
        <v>440</v>
      </c>
      <c r="V39" s="82" t="str">
        <f t="shared" si="31"/>
        <v/>
      </c>
      <c r="W39" s="82" t="str">
        <f t="shared" si="32"/>
        <v/>
      </c>
      <c r="X39" s="82" t="str">
        <f t="shared" si="33"/>
        <v/>
      </c>
      <c r="Y39" s="82" t="str">
        <f t="shared" si="34"/>
        <v>หัวเวียง</v>
      </c>
      <c r="Z39" s="82" t="str">
        <f t="shared" si="35"/>
        <v/>
      </c>
      <c r="AA39" s="82" t="str">
        <f t="shared" si="36"/>
        <v>เมือง</v>
      </c>
      <c r="AB39" s="82" t="str">
        <f t="shared" si="37"/>
        <v>ลำปาง</v>
      </c>
      <c r="AC39" s="82" t="str">
        <f t="shared" si="38"/>
        <v>12345</v>
      </c>
      <c r="AD39" s="85">
        <f t="shared" si="39"/>
        <v>242691</v>
      </c>
      <c r="AE39" s="82">
        <f t="shared" si="40"/>
        <v>3</v>
      </c>
      <c r="AF39" s="83">
        <f t="shared" si="41"/>
        <v>21390</v>
      </c>
      <c r="AG39" s="83">
        <f t="shared" si="42"/>
        <v>641.69999999999993</v>
      </c>
      <c r="AH39" s="82" t="str">
        <f t="shared" si="43"/>
        <v>ค่าบริการ</v>
      </c>
      <c r="AI39" s="82" t="str">
        <f t="shared" si="44"/>
        <v>อยากจะรวย</v>
      </c>
      <c r="AJ39" s="82" t="str">
        <f t="shared" si="45"/>
        <v>98 จำกัด</v>
      </c>
      <c r="AK39" s="82" t="str">
        <f t="shared" si="46"/>
        <v>บริษัท</v>
      </c>
      <c r="AL39" s="82">
        <f>IF(ISBLANK(AH39)=TRUE,"",ROWS($AI$3:AI39))</f>
        <v>37</v>
      </c>
      <c r="AM39" s="82">
        <f>IF('Portfolio 3'!$A$2=O39,AL39,"")</f>
        <v>37</v>
      </c>
      <c r="AN39" s="82" t="str">
        <f>IF(O39='Portfolio 3'!$A$104,AL39,"")</f>
        <v/>
      </c>
      <c r="AO39" s="82" t="str">
        <f>IFERROR(SMALL($AN$3:$AN$101,ROWS($AI$3:AI39)),"")</f>
        <v/>
      </c>
      <c r="AP39" s="82" t="str">
        <f>IFERROR(SMALL($AM$3:$AM$101,ROWS($AI$3:AJ39)),"")</f>
        <v/>
      </c>
    </row>
    <row r="40" spans="1:42" ht="21.75">
      <c r="A40" s="82">
        <v>38</v>
      </c>
      <c r="B40" s="82">
        <v>2101038</v>
      </c>
      <c r="C40" s="82" t="s">
        <v>261</v>
      </c>
      <c r="D40" s="82" t="s">
        <v>107</v>
      </c>
      <c r="E40" s="80" t="s">
        <v>200</v>
      </c>
      <c r="F40" s="82">
        <v>3</v>
      </c>
      <c r="G40" s="82" t="s">
        <v>11</v>
      </c>
      <c r="H40" s="93">
        <v>44089</v>
      </c>
      <c r="I40" s="94">
        <v>20435</v>
      </c>
      <c r="J40" s="84">
        <v>0.03</v>
      </c>
      <c r="K40" s="82">
        <v>613.04999999999995</v>
      </c>
      <c r="N40" s="82" t="str">
        <f t="shared" si="23"/>
        <v>449 หมู่ 35 แขวงริมใต้ เขตแม่ริม เชียงใหม่ 12345</v>
      </c>
      <c r="O40" s="82">
        <f t="shared" si="24"/>
        <v>3</v>
      </c>
      <c r="P40" s="82" t="str">
        <f t="shared" si="25"/>
        <v>09308XXX07289</v>
      </c>
      <c r="Q40" s="82" t="str">
        <f t="shared" si="26"/>
        <v>นางซื้อแล้วรวยโตแล้วโตห้าสิบเจ็ด</v>
      </c>
      <c r="R40" s="82" t="str">
        <f t="shared" si="27"/>
        <v/>
      </c>
      <c r="S40" s="82" t="str">
        <f t="shared" si="28"/>
        <v/>
      </c>
      <c r="T40" s="82" t="str">
        <f t="shared" si="29"/>
        <v/>
      </c>
      <c r="U40" s="82" t="str">
        <f t="shared" si="30"/>
        <v>449</v>
      </c>
      <c r="V40" s="82" t="str">
        <f t="shared" si="31"/>
        <v>35</v>
      </c>
      <c r="W40" s="82" t="str">
        <f t="shared" si="32"/>
        <v/>
      </c>
      <c r="X40" s="82" t="str">
        <f t="shared" si="33"/>
        <v/>
      </c>
      <c r="Y40" s="82" t="str">
        <f t="shared" si="34"/>
        <v>ริมใต้</v>
      </c>
      <c r="Z40" s="82" t="str">
        <f t="shared" si="35"/>
        <v/>
      </c>
      <c r="AA40" s="82" t="str">
        <f t="shared" si="36"/>
        <v>แม่ริม</v>
      </c>
      <c r="AB40" s="82" t="str">
        <f t="shared" si="37"/>
        <v>เชียงใหม่</v>
      </c>
      <c r="AC40" s="82" t="str">
        <f t="shared" si="38"/>
        <v>12345</v>
      </c>
      <c r="AD40" s="85">
        <f t="shared" si="39"/>
        <v>242415</v>
      </c>
      <c r="AE40" s="82">
        <f t="shared" si="40"/>
        <v>3</v>
      </c>
      <c r="AF40" s="83">
        <f t="shared" si="41"/>
        <v>20435</v>
      </c>
      <c r="AG40" s="83">
        <f t="shared" si="42"/>
        <v>613.04999999999995</v>
      </c>
      <c r="AH40" s="82" t="str">
        <f t="shared" si="43"/>
        <v>ค่าบริการ</v>
      </c>
      <c r="AI40" s="82" t="str">
        <f t="shared" si="44"/>
        <v>ซื้อแล้วรวย</v>
      </c>
      <c r="AJ40" s="82" t="str">
        <f t="shared" si="45"/>
        <v>โตแล้วโตห้าสิบเจ็ด</v>
      </c>
      <c r="AK40" s="82" t="str">
        <f t="shared" si="46"/>
        <v>นาง</v>
      </c>
      <c r="AL40" s="82">
        <f>IF(ISBLANK(AH40)=TRUE,"",ROWS($AI$3:AI40))</f>
        <v>38</v>
      </c>
      <c r="AM40" s="82">
        <f>IF('Portfolio 3'!$A$2=O40,AL40,"")</f>
        <v>38</v>
      </c>
      <c r="AN40" s="82" t="str">
        <f>IF(O40='Portfolio 3'!$A$104,AL40,"")</f>
        <v/>
      </c>
      <c r="AO40" s="82" t="str">
        <f>IFERROR(SMALL($AN$3:$AN$101,ROWS($AI$3:AI40)),"")</f>
        <v/>
      </c>
      <c r="AP40" s="82" t="str">
        <f>IFERROR(SMALL($AM$3:$AM$101,ROWS($AI$3:AJ40)),"")</f>
        <v/>
      </c>
    </row>
    <row r="41" spans="1:42" ht="21.75">
      <c r="A41" s="82">
        <v>39</v>
      </c>
      <c r="B41" s="82">
        <v>2101039</v>
      </c>
      <c r="C41" s="82" t="s">
        <v>262</v>
      </c>
      <c r="D41" s="82" t="s">
        <v>108</v>
      </c>
      <c r="E41" s="80" t="s">
        <v>201</v>
      </c>
      <c r="F41" s="82">
        <v>3</v>
      </c>
      <c r="G41" s="82" t="s">
        <v>11</v>
      </c>
      <c r="H41" s="93">
        <v>44095</v>
      </c>
      <c r="I41" s="94">
        <v>20178</v>
      </c>
      <c r="J41" s="84">
        <v>0.03</v>
      </c>
      <c r="K41" s="82">
        <v>605.34</v>
      </c>
      <c r="N41" s="82" t="str">
        <f t="shared" si="23"/>
        <v>472 หมู่ 352 ถนนทางหลวงหมายเลข 35020 แขวงเวียง เขตเวียงเชียงของ เชียงราย 12345</v>
      </c>
      <c r="O41" s="82">
        <f t="shared" si="24"/>
        <v>3</v>
      </c>
      <c r="P41" s="82" t="str">
        <f t="shared" si="25"/>
        <v>04998XXX46087</v>
      </c>
      <c r="Q41" s="82" t="str">
        <f t="shared" si="26"/>
        <v>อยากจะรวย76</v>
      </c>
      <c r="R41" s="82" t="str">
        <f t="shared" si="27"/>
        <v/>
      </c>
      <c r="S41" s="82" t="str">
        <f t="shared" si="28"/>
        <v/>
      </c>
      <c r="T41" s="82" t="str">
        <f t="shared" si="29"/>
        <v/>
      </c>
      <c r="U41" s="82" t="str">
        <f t="shared" si="30"/>
        <v>472</v>
      </c>
      <c r="V41" s="82" t="str">
        <f t="shared" si="31"/>
        <v>352</v>
      </c>
      <c r="W41" s="82" t="str">
        <f t="shared" si="32"/>
        <v/>
      </c>
      <c r="X41" s="82" t="str">
        <f t="shared" si="33"/>
        <v>ทางหลวงหมายเลข</v>
      </c>
      <c r="Y41" s="82" t="str">
        <f t="shared" si="34"/>
        <v>เวียง</v>
      </c>
      <c r="Z41" s="82" t="str">
        <f t="shared" si="35"/>
        <v/>
      </c>
      <c r="AA41" s="82" t="str">
        <f t="shared" si="36"/>
        <v>เวียงเชียงของ</v>
      </c>
      <c r="AB41" s="82" t="str">
        <f t="shared" si="37"/>
        <v>เชียงราย</v>
      </c>
      <c r="AC41" s="82" t="str">
        <f t="shared" si="38"/>
        <v>12345</v>
      </c>
      <c r="AD41" s="85">
        <f t="shared" si="39"/>
        <v>242421</v>
      </c>
      <c r="AE41" s="82">
        <f t="shared" si="40"/>
        <v>3</v>
      </c>
      <c r="AF41" s="83">
        <f t="shared" si="41"/>
        <v>20178</v>
      </c>
      <c r="AG41" s="83">
        <f t="shared" si="42"/>
        <v>605.34</v>
      </c>
      <c r="AH41" s="82" t="str">
        <f t="shared" si="43"/>
        <v>ค่าบริการ</v>
      </c>
      <c r="AI41" s="82" t="str">
        <f t="shared" si="44"/>
        <v>อยากจะรวย</v>
      </c>
      <c r="AJ41" s="82" t="str">
        <f t="shared" si="45"/>
        <v>76 จำกัด</v>
      </c>
      <c r="AK41" s="82" t="str">
        <f t="shared" si="46"/>
        <v>บริษัท</v>
      </c>
      <c r="AL41" s="82">
        <f>IF(ISBLANK(AH41)=TRUE,"",ROWS($AI$3:AI41))</f>
        <v>39</v>
      </c>
      <c r="AM41" s="82">
        <f>IF('Portfolio 3'!$A$2=O41,AL41,"")</f>
        <v>39</v>
      </c>
      <c r="AN41" s="82" t="str">
        <f>IF(O41='Portfolio 3'!$A$104,AL41,"")</f>
        <v/>
      </c>
      <c r="AO41" s="82" t="str">
        <f>IFERROR(SMALL($AN$3:$AN$101,ROWS($AI$3:AI41)),"")</f>
        <v/>
      </c>
      <c r="AP41" s="82" t="str">
        <f>IFERROR(SMALL($AM$3:$AM$101,ROWS($AI$3:AJ41)),"")</f>
        <v/>
      </c>
    </row>
    <row r="42" spans="1:42" ht="21.75">
      <c r="A42" s="82">
        <v>40</v>
      </c>
      <c r="B42" s="82">
        <v>2101040</v>
      </c>
      <c r="C42" s="82" t="s">
        <v>263</v>
      </c>
      <c r="D42" s="82" t="s">
        <v>109</v>
      </c>
      <c r="E42" s="80" t="s">
        <v>202</v>
      </c>
      <c r="F42" s="82">
        <v>3</v>
      </c>
      <c r="G42" s="82" t="s">
        <v>11</v>
      </c>
      <c r="H42" s="93">
        <v>43739</v>
      </c>
      <c r="I42" s="82">
        <v>28277</v>
      </c>
      <c r="J42" s="82">
        <v>0.03</v>
      </c>
      <c r="K42" s="82">
        <v>848.31</v>
      </c>
      <c r="N42" s="82" t="str">
        <f t="shared" si="23"/>
        <v>535/4 ม.2 แขวงผาจุก เขตเมือง อุตรดิตถ์ 12345</v>
      </c>
      <c r="O42" s="82">
        <f t="shared" si="24"/>
        <v>3</v>
      </c>
      <c r="P42" s="82" t="str">
        <f t="shared" si="25"/>
        <v>08610XXX63740</v>
      </c>
      <c r="Q42" s="82" t="str">
        <f t="shared" si="26"/>
        <v>นางซื้อแล้วรวยโตแล้วโตแปดสิบเอ็ด</v>
      </c>
      <c r="R42" s="82" t="str">
        <f t="shared" si="27"/>
        <v/>
      </c>
      <c r="S42" s="82" t="str">
        <f t="shared" si="28"/>
        <v/>
      </c>
      <c r="T42" s="82" t="str">
        <f t="shared" si="29"/>
        <v/>
      </c>
      <c r="U42" s="82" t="str">
        <f t="shared" si="30"/>
        <v>535/4</v>
      </c>
      <c r="V42" s="82" t="str">
        <f t="shared" si="31"/>
        <v/>
      </c>
      <c r="W42" s="82" t="str">
        <f t="shared" si="32"/>
        <v/>
      </c>
      <c r="X42" s="82" t="str">
        <f t="shared" si="33"/>
        <v/>
      </c>
      <c r="Y42" s="82" t="str">
        <f t="shared" si="34"/>
        <v>ผาจุก</v>
      </c>
      <c r="Z42" s="82" t="str">
        <f t="shared" si="35"/>
        <v/>
      </c>
      <c r="AA42" s="82" t="str">
        <f t="shared" si="36"/>
        <v>เมือง</v>
      </c>
      <c r="AB42" s="82" t="str">
        <f t="shared" si="37"/>
        <v>อุตรดิตถ์</v>
      </c>
      <c r="AC42" s="82" t="str">
        <f t="shared" si="38"/>
        <v>12345</v>
      </c>
      <c r="AD42" s="85">
        <f t="shared" si="39"/>
        <v>242066</v>
      </c>
      <c r="AE42" s="82">
        <f t="shared" si="40"/>
        <v>3</v>
      </c>
      <c r="AF42" s="83">
        <f t="shared" si="41"/>
        <v>28277</v>
      </c>
      <c r="AG42" s="83">
        <f t="shared" si="42"/>
        <v>848.31</v>
      </c>
      <c r="AH42" s="82" t="str">
        <f t="shared" si="43"/>
        <v>ค่าบริการ</v>
      </c>
      <c r="AI42" s="82" t="str">
        <f t="shared" si="44"/>
        <v>ซื้อแล้วรวย</v>
      </c>
      <c r="AJ42" s="82" t="str">
        <f t="shared" si="45"/>
        <v>โตแล้วโตแปดสิบเอ็ด</v>
      </c>
      <c r="AK42" s="82" t="str">
        <f t="shared" si="46"/>
        <v>นาง</v>
      </c>
      <c r="AL42" s="82">
        <f>IF(ISBLANK(AH42)=TRUE,"",ROWS($AI$3:AI42))</f>
        <v>40</v>
      </c>
      <c r="AM42" s="82">
        <f>IF('Portfolio 3'!$A$2=O42,AL42,"")</f>
        <v>40</v>
      </c>
      <c r="AN42" s="82" t="str">
        <f>IF(O42='Portfolio 3'!$A$104,AL42,"")</f>
        <v/>
      </c>
      <c r="AO42" s="82" t="str">
        <f>IFERROR(SMALL($AN$3:$AN$101,ROWS($AI$3:AI42)),"")</f>
        <v/>
      </c>
      <c r="AP42" s="82" t="str">
        <f>IFERROR(SMALL($AM$3:$AM$101,ROWS($AI$3:AJ42)),"")</f>
        <v/>
      </c>
    </row>
    <row r="43" spans="1:42" ht="21.75">
      <c r="A43" s="82">
        <v>42</v>
      </c>
      <c r="B43" s="82">
        <v>2101042</v>
      </c>
      <c r="C43" s="82" t="s">
        <v>264</v>
      </c>
      <c r="D43" s="82" t="s">
        <v>110</v>
      </c>
      <c r="E43" s="80" t="s">
        <v>203</v>
      </c>
      <c r="F43" s="82">
        <v>3</v>
      </c>
      <c r="G43" s="82" t="s">
        <v>14</v>
      </c>
      <c r="H43" s="93">
        <v>43696</v>
      </c>
      <c r="I43" s="82">
        <v>14609</v>
      </c>
      <c r="J43" s="82">
        <v>0.02</v>
      </c>
      <c r="K43" s="82">
        <v>292.18</v>
      </c>
      <c r="N43" s="82" t="str">
        <f t="shared" si="23"/>
        <v>557 หมู่ 3535 แขวงเด่นชัย เขตเด่นชัย แพร่ 12345</v>
      </c>
      <c r="O43" s="82">
        <f t="shared" si="24"/>
        <v>3</v>
      </c>
      <c r="P43" s="82" t="str">
        <f t="shared" si="25"/>
        <v>03551XXX26574</v>
      </c>
      <c r="Q43" s="82" t="str">
        <f t="shared" si="26"/>
        <v>นางซื้อแล้วรวยโตแล้วโตหกสิบเอ็ด</v>
      </c>
      <c r="R43" s="82" t="str">
        <f t="shared" si="27"/>
        <v/>
      </c>
      <c r="S43" s="82" t="str">
        <f t="shared" si="28"/>
        <v/>
      </c>
      <c r="T43" s="82" t="str">
        <f t="shared" si="29"/>
        <v/>
      </c>
      <c r="U43" s="82" t="str">
        <f t="shared" si="30"/>
        <v>557</v>
      </c>
      <c r="V43" s="82" t="str">
        <f t="shared" si="31"/>
        <v>3535</v>
      </c>
      <c r="W43" s="82" t="str">
        <f t="shared" si="32"/>
        <v/>
      </c>
      <c r="X43" s="82" t="str">
        <f t="shared" si="33"/>
        <v/>
      </c>
      <c r="Y43" s="82" t="str">
        <f t="shared" si="34"/>
        <v>เด่นชัย</v>
      </c>
      <c r="Z43" s="82" t="str">
        <f t="shared" si="35"/>
        <v/>
      </c>
      <c r="AA43" s="82" t="str">
        <f t="shared" si="36"/>
        <v>เด่นชัย</v>
      </c>
      <c r="AB43" s="82" t="str">
        <f t="shared" si="37"/>
        <v>แพร่</v>
      </c>
      <c r="AC43" s="82" t="str">
        <f t="shared" si="38"/>
        <v>12345</v>
      </c>
      <c r="AD43" s="85">
        <f t="shared" si="39"/>
        <v>242023</v>
      </c>
      <c r="AE43" s="82">
        <f t="shared" si="40"/>
        <v>2</v>
      </c>
      <c r="AF43" s="83">
        <f t="shared" si="41"/>
        <v>14609</v>
      </c>
      <c r="AG43" s="83">
        <f t="shared" si="42"/>
        <v>292.18</v>
      </c>
      <c r="AH43" s="82" t="str">
        <f t="shared" si="43"/>
        <v>ค่าโฆษณา</v>
      </c>
      <c r="AI43" s="82" t="str">
        <f t="shared" si="44"/>
        <v>ซื้อแล้วรวย</v>
      </c>
      <c r="AJ43" s="82" t="str">
        <f t="shared" si="45"/>
        <v>โตแล้วโตหกสิบเอ็ด</v>
      </c>
      <c r="AK43" s="82" t="str">
        <f t="shared" si="46"/>
        <v>นาง</v>
      </c>
      <c r="AL43" s="82">
        <f>IF(ISBLANK(AH43)=TRUE,"",ROWS($AI$3:AI43))</f>
        <v>41</v>
      </c>
      <c r="AM43" s="82">
        <f>IF('Portfolio 3'!$A$2=O43,AL43,"")</f>
        <v>41</v>
      </c>
      <c r="AN43" s="82" t="str">
        <f>IF(O43='Portfolio 3'!$A$104,AL43,"")</f>
        <v/>
      </c>
      <c r="AO43" s="82" t="str">
        <f>IFERROR(SMALL($AN$3:$AN$101,ROWS($AI$3:AI43)),"")</f>
        <v/>
      </c>
      <c r="AP43" s="82" t="str">
        <f>IFERROR(SMALL($AM$3:$AM$101,ROWS($AI$3:AJ43)),"")</f>
        <v/>
      </c>
    </row>
    <row r="44" spans="1:42" ht="21.75">
      <c r="A44" s="82">
        <v>42</v>
      </c>
      <c r="B44" s="82">
        <v>2101042</v>
      </c>
      <c r="C44" s="82" t="s">
        <v>265</v>
      </c>
      <c r="D44" s="82" t="s">
        <v>110</v>
      </c>
      <c r="E44" s="80" t="s">
        <v>203</v>
      </c>
      <c r="F44" s="82">
        <v>3</v>
      </c>
      <c r="G44" s="82" t="s">
        <v>11</v>
      </c>
      <c r="H44" s="93">
        <v>43696</v>
      </c>
      <c r="I44" s="82">
        <v>14609</v>
      </c>
      <c r="J44" s="82">
        <v>0.03</v>
      </c>
      <c r="K44" s="82">
        <v>438.27</v>
      </c>
      <c r="N44" s="82" t="str">
        <f t="shared" si="23"/>
        <v>557 หมู่ 3535 แขวงเด่นชัย เขตเด่นชัย แพร่ 12345</v>
      </c>
      <c r="O44" s="82">
        <f t="shared" si="24"/>
        <v>3</v>
      </c>
      <c r="P44" s="82" t="str">
        <f t="shared" si="25"/>
        <v>03551XXX26574</v>
      </c>
      <c r="Q44" s="82" t="str">
        <f t="shared" si="26"/>
        <v>นางตัวอย่างสงเจริญห้าสิบห้า</v>
      </c>
      <c r="R44" s="82" t="str">
        <f t="shared" si="27"/>
        <v/>
      </c>
      <c r="S44" s="82" t="str">
        <f t="shared" si="28"/>
        <v/>
      </c>
      <c r="T44" s="82" t="str">
        <f t="shared" si="29"/>
        <v/>
      </c>
      <c r="U44" s="82" t="str">
        <f t="shared" si="30"/>
        <v>557</v>
      </c>
      <c r="V44" s="82" t="str">
        <f t="shared" si="31"/>
        <v>3535</v>
      </c>
      <c r="W44" s="82" t="str">
        <f t="shared" si="32"/>
        <v/>
      </c>
      <c r="X44" s="82" t="str">
        <f t="shared" si="33"/>
        <v/>
      </c>
      <c r="Y44" s="82" t="str">
        <f t="shared" si="34"/>
        <v>เด่นชัย</v>
      </c>
      <c r="Z44" s="82" t="str">
        <f t="shared" si="35"/>
        <v/>
      </c>
      <c r="AA44" s="82" t="str">
        <f t="shared" si="36"/>
        <v>เด่นชัย</v>
      </c>
      <c r="AB44" s="82" t="str">
        <f t="shared" si="37"/>
        <v>แพร่</v>
      </c>
      <c r="AC44" s="82" t="str">
        <f t="shared" si="38"/>
        <v>12345</v>
      </c>
      <c r="AD44" s="85">
        <f t="shared" si="39"/>
        <v>242023</v>
      </c>
      <c r="AE44" s="82">
        <f t="shared" si="40"/>
        <v>3</v>
      </c>
      <c r="AF44" s="83">
        <f t="shared" si="41"/>
        <v>14609</v>
      </c>
      <c r="AG44" s="83">
        <f t="shared" si="42"/>
        <v>438.27</v>
      </c>
      <c r="AH44" s="82" t="str">
        <f t="shared" si="43"/>
        <v>ค่าบริการ</v>
      </c>
      <c r="AI44" s="82" t="str">
        <f t="shared" si="44"/>
        <v>ตัวอย่าง</v>
      </c>
      <c r="AJ44" s="82" t="str">
        <f t="shared" si="45"/>
        <v>สงเจริญห้าสิบห้า</v>
      </c>
      <c r="AK44" s="82" t="str">
        <f t="shared" si="46"/>
        <v>นาง</v>
      </c>
      <c r="AL44" s="82">
        <f>IF(ISBLANK(AH44)=TRUE,"",ROWS($AI$3:AI44))</f>
        <v>42</v>
      </c>
      <c r="AM44" s="82">
        <f>IF('Portfolio 3'!$A$2=O44,AL44,"")</f>
        <v>42</v>
      </c>
      <c r="AN44" s="82" t="str">
        <f>IF(O44='Portfolio 3'!$A$104,AL44,"")</f>
        <v/>
      </c>
      <c r="AO44" s="82" t="str">
        <f>IFERROR(SMALL($AN$3:$AN$101,ROWS($AI$3:AI44)),"")</f>
        <v/>
      </c>
      <c r="AP44" s="82" t="str">
        <f>IFERROR(SMALL($AM$3:$AM$101,ROWS($AI$3:AJ44)),"")</f>
        <v/>
      </c>
    </row>
    <row r="45" spans="1:42" ht="21.75">
      <c r="A45" s="82">
        <v>43</v>
      </c>
      <c r="B45" s="82">
        <v>2101043</v>
      </c>
      <c r="C45" s="82" t="s">
        <v>266</v>
      </c>
      <c r="D45" s="82" t="s">
        <v>111</v>
      </c>
      <c r="E45" s="80" t="s">
        <v>204</v>
      </c>
      <c r="F45" s="82">
        <v>3</v>
      </c>
      <c r="G45" s="82" t="s">
        <v>11</v>
      </c>
      <c r="H45" s="93">
        <v>43619</v>
      </c>
      <c r="I45" s="82">
        <v>15177</v>
      </c>
      <c r="J45" s="82">
        <v>0.03</v>
      </c>
      <c r="K45" s="82">
        <v>455.31</v>
      </c>
      <c r="N45" s="82" t="str">
        <f t="shared" si="23"/>
        <v>662 หมู่ 8 แขวงวังทอง เขตวังทอง พิษณุโลก 12345</v>
      </c>
      <c r="O45" s="82">
        <f t="shared" si="24"/>
        <v>3</v>
      </c>
      <c r="P45" s="82" t="str">
        <f t="shared" si="25"/>
        <v>07388XXX11019</v>
      </c>
      <c r="Q45" s="82" t="str">
        <f t="shared" si="26"/>
        <v>นางซื้อแล้วรวยโตแล้วโตสี่สิบห้า</v>
      </c>
      <c r="R45" s="82" t="str">
        <f t="shared" si="27"/>
        <v/>
      </c>
      <c r="S45" s="82" t="str">
        <f t="shared" si="28"/>
        <v/>
      </c>
      <c r="T45" s="82" t="str">
        <f t="shared" si="29"/>
        <v/>
      </c>
      <c r="U45" s="82" t="str">
        <f t="shared" si="30"/>
        <v>662</v>
      </c>
      <c r="V45" s="82" t="str">
        <f t="shared" si="31"/>
        <v>8</v>
      </c>
      <c r="W45" s="82" t="str">
        <f t="shared" si="32"/>
        <v/>
      </c>
      <c r="X45" s="82" t="str">
        <f t="shared" si="33"/>
        <v/>
      </c>
      <c r="Y45" s="82" t="str">
        <f t="shared" si="34"/>
        <v>วังทอง</v>
      </c>
      <c r="Z45" s="82" t="str">
        <f t="shared" si="35"/>
        <v/>
      </c>
      <c r="AA45" s="82" t="str">
        <f t="shared" si="36"/>
        <v>วังทอง</v>
      </c>
      <c r="AB45" s="82" t="str">
        <f t="shared" si="37"/>
        <v>พิษณุโลก</v>
      </c>
      <c r="AC45" s="82" t="str">
        <f t="shared" si="38"/>
        <v>12345</v>
      </c>
      <c r="AD45" s="85">
        <f t="shared" si="39"/>
        <v>241946</v>
      </c>
      <c r="AE45" s="82">
        <f t="shared" si="40"/>
        <v>3</v>
      </c>
      <c r="AF45" s="83">
        <f t="shared" si="41"/>
        <v>15177</v>
      </c>
      <c r="AG45" s="83">
        <f t="shared" si="42"/>
        <v>455.31</v>
      </c>
      <c r="AH45" s="82" t="str">
        <f t="shared" si="43"/>
        <v>ค่าบริการ</v>
      </c>
      <c r="AI45" s="82" t="str">
        <f t="shared" si="44"/>
        <v>ซื้อแล้วรวย</v>
      </c>
      <c r="AJ45" s="82" t="str">
        <f t="shared" si="45"/>
        <v>โตแล้วโตสี่สิบห้า</v>
      </c>
      <c r="AK45" s="82" t="str">
        <f t="shared" si="46"/>
        <v>นาง</v>
      </c>
      <c r="AL45" s="82">
        <f>IF(ISBLANK(AH45)=TRUE,"",ROWS($AI$3:AI45))</f>
        <v>43</v>
      </c>
      <c r="AM45" s="82">
        <f>IF('Portfolio 3'!$A$2=O45,AL45,"")</f>
        <v>43</v>
      </c>
      <c r="AN45" s="82" t="str">
        <f>IF(O45='Portfolio 3'!$A$104,AL45,"")</f>
        <v/>
      </c>
      <c r="AO45" s="82" t="str">
        <f>IFERROR(SMALL($AN$3:$AN$101,ROWS($AI$3:AI45)),"")</f>
        <v/>
      </c>
      <c r="AP45" s="82" t="str">
        <f>IFERROR(SMALL($AM$3:$AM$101,ROWS($AI$3:AJ45)),"")</f>
        <v/>
      </c>
    </row>
    <row r="46" spans="1:42" ht="21.75">
      <c r="A46" s="82">
        <v>44</v>
      </c>
      <c r="B46" s="82">
        <v>2101044</v>
      </c>
      <c r="C46" s="82" t="s">
        <v>265</v>
      </c>
      <c r="D46" s="82" t="s">
        <v>112</v>
      </c>
      <c r="E46" s="80" t="s">
        <v>205</v>
      </c>
      <c r="F46" s="82">
        <v>3</v>
      </c>
      <c r="G46" s="82" t="s">
        <v>11</v>
      </c>
      <c r="H46" s="93">
        <v>44429</v>
      </c>
      <c r="I46" s="82">
        <v>27243</v>
      </c>
      <c r="J46" s="82">
        <v>0.03</v>
      </c>
      <c r="K46" s="82">
        <v>817.29</v>
      </c>
      <c r="N46" s="82" t="str">
        <f t="shared" si="23"/>
        <v>69 ถนนปางล้อนิคม แขวงจองคำ เขตเมือง แม่ฮ่องสอน 12345</v>
      </c>
      <c r="O46" s="82">
        <f t="shared" si="24"/>
        <v>3</v>
      </c>
      <c r="P46" s="82" t="str">
        <f t="shared" si="25"/>
        <v>07782XXX01011</v>
      </c>
      <c r="Q46" s="82" t="str">
        <f t="shared" si="26"/>
        <v>นางตัวอย่างสงเจริญห้าสิบห้า</v>
      </c>
      <c r="R46" s="82" t="str">
        <f t="shared" si="27"/>
        <v/>
      </c>
      <c r="S46" s="82" t="str">
        <f t="shared" si="28"/>
        <v/>
      </c>
      <c r="T46" s="82" t="str">
        <f t="shared" si="29"/>
        <v/>
      </c>
      <c r="U46" s="82" t="str">
        <f t="shared" si="30"/>
        <v>69</v>
      </c>
      <c r="V46" s="82" t="str">
        <f t="shared" si="31"/>
        <v/>
      </c>
      <c r="W46" s="82" t="str">
        <f t="shared" si="32"/>
        <v/>
      </c>
      <c r="X46" s="82" t="str">
        <f t="shared" si="33"/>
        <v>ปางล้อนิคม</v>
      </c>
      <c r="Y46" s="82" t="str">
        <f t="shared" si="34"/>
        <v>จองคำ</v>
      </c>
      <c r="Z46" s="82" t="str">
        <f t="shared" si="35"/>
        <v/>
      </c>
      <c r="AA46" s="82" t="str">
        <f t="shared" si="36"/>
        <v>เมือง</v>
      </c>
      <c r="AB46" s="82" t="str">
        <f t="shared" si="37"/>
        <v>แม่ฮ่องสอน</v>
      </c>
      <c r="AC46" s="82" t="str">
        <f t="shared" si="38"/>
        <v>12345</v>
      </c>
      <c r="AD46" s="85">
        <f t="shared" si="39"/>
        <v>242756</v>
      </c>
      <c r="AE46" s="82">
        <f t="shared" si="40"/>
        <v>3</v>
      </c>
      <c r="AF46" s="83">
        <f t="shared" si="41"/>
        <v>27243</v>
      </c>
      <c r="AG46" s="83">
        <f t="shared" si="42"/>
        <v>817.29</v>
      </c>
      <c r="AH46" s="82" t="str">
        <f t="shared" si="43"/>
        <v>ค่าบริการ</v>
      </c>
      <c r="AI46" s="82" t="str">
        <f t="shared" si="44"/>
        <v>ตัวอย่าง</v>
      </c>
      <c r="AJ46" s="82" t="str">
        <f t="shared" si="45"/>
        <v>สงเจริญห้าสิบห้า</v>
      </c>
      <c r="AK46" s="82" t="str">
        <f t="shared" si="46"/>
        <v>นาง</v>
      </c>
      <c r="AL46" s="82">
        <f>IF(ISBLANK(AH46)=TRUE,"",ROWS($AI$3:AI46))</f>
        <v>44</v>
      </c>
      <c r="AM46" s="82">
        <f>IF('Portfolio 3'!$A$2=O46,AL46,"")</f>
        <v>44</v>
      </c>
      <c r="AN46" s="82" t="str">
        <f>IF(O46='Portfolio 3'!$A$104,AL46,"")</f>
        <v/>
      </c>
      <c r="AO46" s="82" t="str">
        <f>IFERROR(SMALL($AN$3:$AN$101,ROWS($AI$3:AI46)),"")</f>
        <v/>
      </c>
      <c r="AP46" s="82" t="str">
        <f>IFERROR(SMALL($AM$3:$AM$101,ROWS($AI$3:AJ46)),"")</f>
        <v/>
      </c>
    </row>
    <row r="47" spans="1:42" ht="21.75">
      <c r="A47" s="82">
        <v>45</v>
      </c>
      <c r="B47" s="82">
        <v>2101045</v>
      </c>
      <c r="C47" s="82" t="s">
        <v>267</v>
      </c>
      <c r="D47" s="82" t="s">
        <v>113</v>
      </c>
      <c r="E47" s="80" t="s">
        <v>206</v>
      </c>
      <c r="F47" s="82">
        <v>3</v>
      </c>
      <c r="G47" s="82" t="s">
        <v>11</v>
      </c>
      <c r="H47" s="93">
        <v>44085</v>
      </c>
      <c r="I47" s="82">
        <v>14679</v>
      </c>
      <c r="J47" s="82">
        <v>0.03</v>
      </c>
      <c r="K47" s="82">
        <v>440.37</v>
      </c>
      <c r="N47" s="82" t="str">
        <f t="shared" si="23"/>
        <v>697 หมู่ 4 แขวงวังเหนือ เขตวังเหนือ ลำปาง 12345</v>
      </c>
      <c r="O47" s="82">
        <f t="shared" si="24"/>
        <v>3</v>
      </c>
      <c r="P47" s="82" t="str">
        <f t="shared" si="25"/>
        <v>06508XXX77933</v>
      </c>
      <c r="Q47" s="82" t="str">
        <f t="shared" si="26"/>
        <v>นายอยากจะรวยอาคมแรงสี่สิบเอ็ด</v>
      </c>
      <c r="R47" s="82" t="str">
        <f t="shared" si="27"/>
        <v/>
      </c>
      <c r="S47" s="82" t="str">
        <f t="shared" si="28"/>
        <v/>
      </c>
      <c r="T47" s="82" t="str">
        <f t="shared" si="29"/>
        <v/>
      </c>
      <c r="U47" s="82" t="str">
        <f t="shared" si="30"/>
        <v>697</v>
      </c>
      <c r="V47" s="82" t="str">
        <f t="shared" si="31"/>
        <v>4</v>
      </c>
      <c r="W47" s="82" t="str">
        <f t="shared" si="32"/>
        <v/>
      </c>
      <c r="X47" s="82" t="str">
        <f t="shared" si="33"/>
        <v/>
      </c>
      <c r="Y47" s="82" t="str">
        <f t="shared" si="34"/>
        <v>วังเหนือ</v>
      </c>
      <c r="Z47" s="82" t="str">
        <f t="shared" si="35"/>
        <v/>
      </c>
      <c r="AA47" s="82" t="str">
        <f t="shared" si="36"/>
        <v>วังเหนือ</v>
      </c>
      <c r="AB47" s="82" t="str">
        <f t="shared" si="37"/>
        <v>ลำปาง</v>
      </c>
      <c r="AC47" s="82" t="str">
        <f t="shared" si="38"/>
        <v>12345</v>
      </c>
      <c r="AD47" s="85">
        <f t="shared" si="39"/>
        <v>242411</v>
      </c>
      <c r="AE47" s="82">
        <f t="shared" si="40"/>
        <v>3</v>
      </c>
      <c r="AF47" s="83">
        <f t="shared" si="41"/>
        <v>14679</v>
      </c>
      <c r="AG47" s="83">
        <f t="shared" si="42"/>
        <v>440.37</v>
      </c>
      <c r="AH47" s="82" t="str">
        <f t="shared" si="43"/>
        <v>ค่าบริการ</v>
      </c>
      <c r="AI47" s="82" t="str">
        <f t="shared" si="44"/>
        <v>อยากจะรวย</v>
      </c>
      <c r="AJ47" s="82" t="str">
        <f t="shared" si="45"/>
        <v>อาคมแรงสี่สิบเอ็ด</v>
      </c>
      <c r="AK47" s="82" t="str">
        <f t="shared" si="46"/>
        <v>นาย</v>
      </c>
      <c r="AL47" s="82">
        <f>IF(ISBLANK(AH47)=TRUE,"",ROWS($AI$3:AI47))</f>
        <v>45</v>
      </c>
      <c r="AM47" s="82">
        <f>IF('Portfolio 3'!$A$2=O47,AL47,"")</f>
        <v>45</v>
      </c>
      <c r="AN47" s="82" t="str">
        <f>IF(O47='Portfolio 3'!$A$104,AL47,"")</f>
        <v/>
      </c>
      <c r="AO47" s="82" t="str">
        <f>IFERROR(SMALL($AN$3:$AN$101,ROWS($AI$3:AI47)),"")</f>
        <v/>
      </c>
      <c r="AP47" s="82" t="str">
        <f>IFERROR(SMALL($AM$3:$AM$101,ROWS($AI$3:AJ47)),"")</f>
        <v/>
      </c>
    </row>
    <row r="48" spans="1:42" ht="21.75">
      <c r="A48" s="82">
        <v>46</v>
      </c>
      <c r="B48" s="82">
        <v>2101046</v>
      </c>
      <c r="C48" s="82" t="s">
        <v>259</v>
      </c>
      <c r="D48" s="82" t="s">
        <v>114</v>
      </c>
      <c r="E48" s="80" t="s">
        <v>207</v>
      </c>
      <c r="F48" s="82">
        <v>3</v>
      </c>
      <c r="G48" s="82" t="s">
        <v>11</v>
      </c>
      <c r="H48" s="93">
        <v>44023</v>
      </c>
      <c r="I48" s="82">
        <v>13069</v>
      </c>
      <c r="J48" s="82">
        <v>0.03</v>
      </c>
      <c r="K48" s="82">
        <v>392.07</v>
      </c>
      <c r="N48" s="82" t="str">
        <f t="shared" si="23"/>
        <v>74 ถนนเทศา35 แขวงในเมือง เขตเมือง กำแพงเพชร 12345</v>
      </c>
      <c r="O48" s="82">
        <f t="shared" si="24"/>
        <v>3</v>
      </c>
      <c r="P48" s="82" t="str">
        <f t="shared" si="25"/>
        <v>09676XXX30986</v>
      </c>
      <c r="Q48" s="82" t="str">
        <f t="shared" si="26"/>
        <v>ซื้อแล้วรวย94</v>
      </c>
      <c r="R48" s="82" t="str">
        <f t="shared" si="27"/>
        <v/>
      </c>
      <c r="S48" s="82" t="str">
        <f t="shared" si="28"/>
        <v/>
      </c>
      <c r="T48" s="82" t="str">
        <f t="shared" si="29"/>
        <v/>
      </c>
      <c r="U48" s="82" t="str">
        <f t="shared" si="30"/>
        <v>74</v>
      </c>
      <c r="V48" s="82" t="str">
        <f t="shared" si="31"/>
        <v/>
      </c>
      <c r="W48" s="82" t="str">
        <f t="shared" si="32"/>
        <v/>
      </c>
      <c r="X48" s="82" t="str">
        <f t="shared" si="33"/>
        <v>เทศา35</v>
      </c>
      <c r="Y48" s="82" t="str">
        <f t="shared" si="34"/>
        <v>ในเมือง</v>
      </c>
      <c r="Z48" s="82" t="str">
        <f t="shared" si="35"/>
        <v/>
      </c>
      <c r="AA48" s="82" t="str">
        <f t="shared" si="36"/>
        <v>เมือง</v>
      </c>
      <c r="AB48" s="82" t="str">
        <f t="shared" si="37"/>
        <v>กำแพงเพชร</v>
      </c>
      <c r="AC48" s="82" t="str">
        <f t="shared" si="38"/>
        <v>12345</v>
      </c>
      <c r="AD48" s="85">
        <f t="shared" si="39"/>
        <v>242349</v>
      </c>
      <c r="AE48" s="82">
        <f t="shared" si="40"/>
        <v>3</v>
      </c>
      <c r="AF48" s="83">
        <f t="shared" si="41"/>
        <v>13069</v>
      </c>
      <c r="AG48" s="83">
        <f t="shared" si="42"/>
        <v>392.07</v>
      </c>
      <c r="AH48" s="82" t="str">
        <f t="shared" si="43"/>
        <v>ค่าบริการ</v>
      </c>
      <c r="AI48" s="82" t="str">
        <f t="shared" si="44"/>
        <v>ซื้อแล้วรวย</v>
      </c>
      <c r="AJ48" s="82" t="str">
        <f t="shared" si="45"/>
        <v>94 จำกัด</v>
      </c>
      <c r="AK48" s="82" t="str">
        <f t="shared" si="46"/>
        <v>บริษัท</v>
      </c>
      <c r="AL48" s="82">
        <f>IF(ISBLANK(AH48)=TRUE,"",ROWS($AI$3:AI48))</f>
        <v>46</v>
      </c>
      <c r="AM48" s="82">
        <f>IF('Portfolio 3'!$A$2=O48,AL48,"")</f>
        <v>46</v>
      </c>
      <c r="AN48" s="82" t="str">
        <f>IF(O48='Portfolio 3'!$A$104,AL48,"")</f>
        <v/>
      </c>
      <c r="AO48" s="82" t="str">
        <f>IFERROR(SMALL($AN$3:$AN$101,ROWS($AI$3:AI48)),"")</f>
        <v/>
      </c>
      <c r="AP48" s="82" t="str">
        <f>IFERROR(SMALL($AM$3:$AM$101,ROWS($AI$3:AJ48)),"")</f>
        <v/>
      </c>
    </row>
    <row r="49" spans="1:42" ht="21.75">
      <c r="A49" s="82">
        <v>47</v>
      </c>
      <c r="B49" s="82">
        <v>2101047</v>
      </c>
      <c r="C49" s="82" t="s">
        <v>265</v>
      </c>
      <c r="D49" s="82" t="s">
        <v>115</v>
      </c>
      <c r="E49" s="80" t="s">
        <v>208</v>
      </c>
      <c r="F49" s="82">
        <v>3</v>
      </c>
      <c r="G49" s="82" t="s">
        <v>11</v>
      </c>
      <c r="H49" s="93">
        <v>43999</v>
      </c>
      <c r="I49" s="82">
        <v>23463</v>
      </c>
      <c r="J49" s="82">
        <v>0.03</v>
      </c>
      <c r="K49" s="82">
        <v>703.89</v>
      </c>
      <c r="N49" s="82" t="str">
        <f t="shared" si="23"/>
        <v>9/35 ถนนมหาดไทยบำรุง แขวงหนองหลวง เขตเมือง ตาก 12345</v>
      </c>
      <c r="O49" s="82">
        <f t="shared" si="24"/>
        <v>3</v>
      </c>
      <c r="P49" s="82" t="str">
        <f t="shared" si="25"/>
        <v>07517XXX34525</v>
      </c>
      <c r="Q49" s="82" t="str">
        <f t="shared" si="26"/>
        <v>นางตัวอย่างสงเจริญห้าสิบห้า</v>
      </c>
      <c r="R49" s="82" t="str">
        <f t="shared" si="27"/>
        <v/>
      </c>
      <c r="S49" s="82" t="str">
        <f t="shared" si="28"/>
        <v/>
      </c>
      <c r="T49" s="82" t="str">
        <f t="shared" si="29"/>
        <v/>
      </c>
      <c r="U49" s="82" t="str">
        <f t="shared" si="30"/>
        <v>9/35</v>
      </c>
      <c r="V49" s="82" t="str">
        <f t="shared" si="31"/>
        <v/>
      </c>
      <c r="W49" s="82" t="str">
        <f t="shared" si="32"/>
        <v/>
      </c>
      <c r="X49" s="82" t="str">
        <f t="shared" si="33"/>
        <v>มหาดไทยบำรุง</v>
      </c>
      <c r="Y49" s="82" t="str">
        <f t="shared" si="34"/>
        <v>หนองหลวง</v>
      </c>
      <c r="Z49" s="82" t="str">
        <f t="shared" si="35"/>
        <v/>
      </c>
      <c r="AA49" s="82" t="str">
        <f t="shared" si="36"/>
        <v>เมือง</v>
      </c>
      <c r="AB49" s="82" t="str">
        <f t="shared" si="37"/>
        <v>ตาก</v>
      </c>
      <c r="AC49" s="82" t="str">
        <f t="shared" si="38"/>
        <v>12345</v>
      </c>
      <c r="AD49" s="85">
        <f t="shared" si="39"/>
        <v>242325</v>
      </c>
      <c r="AE49" s="82">
        <f t="shared" si="40"/>
        <v>3</v>
      </c>
      <c r="AF49" s="83">
        <f t="shared" si="41"/>
        <v>23463</v>
      </c>
      <c r="AG49" s="83">
        <f t="shared" si="42"/>
        <v>703.89</v>
      </c>
      <c r="AH49" s="82" t="str">
        <f t="shared" si="43"/>
        <v>ค่าบริการ</v>
      </c>
      <c r="AI49" s="82" t="str">
        <f t="shared" si="44"/>
        <v>ตัวอย่าง</v>
      </c>
      <c r="AJ49" s="82" t="str">
        <f t="shared" si="45"/>
        <v>สงเจริญห้าสิบห้า</v>
      </c>
      <c r="AK49" s="82" t="str">
        <f t="shared" si="46"/>
        <v>นาง</v>
      </c>
      <c r="AL49" s="82">
        <f>IF(ISBLANK(AH49)=TRUE,"",ROWS($AI$3:AI49))</f>
        <v>47</v>
      </c>
      <c r="AM49" s="82">
        <f>IF('Portfolio 3'!$A$2=O49,AL49,"")</f>
        <v>47</v>
      </c>
      <c r="AN49" s="82" t="str">
        <f>IF(O49='Portfolio 3'!$A$104,AL49,"")</f>
        <v/>
      </c>
      <c r="AO49" s="82" t="str">
        <f>IFERROR(SMALL($AN$3:$AN$101,ROWS($AI$3:AI49)),"")</f>
        <v/>
      </c>
      <c r="AP49" s="82" t="str">
        <f>IFERROR(SMALL($AM$3:$AM$101,ROWS($AI$3:AJ49)),"")</f>
        <v/>
      </c>
    </row>
    <row r="50" spans="1:42" ht="21.75">
      <c r="A50" s="82">
        <v>48</v>
      </c>
      <c r="B50" s="82">
        <v>2101048</v>
      </c>
      <c r="C50" s="82" t="s">
        <v>246</v>
      </c>
      <c r="D50" s="82" t="s">
        <v>116</v>
      </c>
      <c r="E50" s="80" t="s">
        <v>209</v>
      </c>
      <c r="F50" s="82">
        <v>3</v>
      </c>
      <c r="G50" s="82" t="s">
        <v>11</v>
      </c>
      <c r="H50" s="93">
        <v>44063</v>
      </c>
      <c r="I50" s="82">
        <v>22268</v>
      </c>
      <c r="J50" s="82">
        <v>0.03</v>
      </c>
      <c r="K50" s="82">
        <v>668.04</v>
      </c>
      <c r="N50" s="82" t="str">
        <f t="shared" si="23"/>
        <v>940 หมู่ 35 แขวงหาดเสี้ยว เขตศรีสัชนาลัย สุโขทัย 12345</v>
      </c>
      <c r="O50" s="82">
        <f t="shared" si="24"/>
        <v>3</v>
      </c>
      <c r="P50" s="82" t="str">
        <f t="shared" si="25"/>
        <v>09558XXX51579</v>
      </c>
      <c r="Q50" s="82" t="str">
        <f t="shared" si="26"/>
        <v>นางซื้อแล้วรวยโตแล้วโตเจ็ดสิบเจ็ด</v>
      </c>
      <c r="R50" s="82" t="str">
        <f t="shared" si="27"/>
        <v/>
      </c>
      <c r="S50" s="82" t="str">
        <f t="shared" si="28"/>
        <v/>
      </c>
      <c r="T50" s="82" t="str">
        <f t="shared" si="29"/>
        <v/>
      </c>
      <c r="U50" s="82" t="str">
        <f t="shared" si="30"/>
        <v>940</v>
      </c>
      <c r="V50" s="82" t="str">
        <f t="shared" si="31"/>
        <v>35</v>
      </c>
      <c r="W50" s="82" t="str">
        <f t="shared" si="32"/>
        <v/>
      </c>
      <c r="X50" s="82" t="str">
        <f t="shared" si="33"/>
        <v/>
      </c>
      <c r="Y50" s="82" t="str">
        <f t="shared" si="34"/>
        <v>หาดเสี้ยว</v>
      </c>
      <c r="Z50" s="82" t="str">
        <f t="shared" si="35"/>
        <v/>
      </c>
      <c r="AA50" s="82" t="str">
        <f t="shared" si="36"/>
        <v>ศรีสัชนาลัย</v>
      </c>
      <c r="AB50" s="82" t="str">
        <f t="shared" si="37"/>
        <v>สุโขทัย</v>
      </c>
      <c r="AC50" s="82" t="str">
        <f t="shared" si="38"/>
        <v>12345</v>
      </c>
      <c r="AD50" s="85">
        <f t="shared" si="39"/>
        <v>242389</v>
      </c>
      <c r="AE50" s="82">
        <f t="shared" si="40"/>
        <v>3</v>
      </c>
      <c r="AF50" s="83">
        <f t="shared" si="41"/>
        <v>22268</v>
      </c>
      <c r="AG50" s="83">
        <f t="shared" si="42"/>
        <v>668.04</v>
      </c>
      <c r="AH50" s="82" t="str">
        <f t="shared" si="43"/>
        <v>ค่าบริการ</v>
      </c>
      <c r="AI50" s="82" t="str">
        <f t="shared" si="44"/>
        <v>ซื้อแล้วรวย</v>
      </c>
      <c r="AJ50" s="82" t="str">
        <f t="shared" si="45"/>
        <v>โตแล้วโตเจ็ดสิบเจ็ด</v>
      </c>
      <c r="AK50" s="82" t="str">
        <f t="shared" si="46"/>
        <v>นาง</v>
      </c>
      <c r="AL50" s="82">
        <f>IF(ISBLANK(AH50)=TRUE,"",ROWS($AI$3:AI50))</f>
        <v>48</v>
      </c>
      <c r="AM50" s="82">
        <f>IF('Portfolio 3'!$A$2=O50,AL50,"")</f>
        <v>48</v>
      </c>
      <c r="AN50" s="82" t="str">
        <f>IF(O50='Portfolio 3'!$A$104,AL50,"")</f>
        <v/>
      </c>
      <c r="AO50" s="82" t="str">
        <f>IFERROR(SMALL($AN$3:$AN$101,ROWS($AI$3:AI50)),"")</f>
        <v/>
      </c>
      <c r="AP50" s="82" t="str">
        <f>IFERROR(SMALL($AM$3:$AM$101,ROWS($AI$3:AJ50)),"")</f>
        <v/>
      </c>
    </row>
    <row r="51" spans="1:42" ht="21.75">
      <c r="A51" s="82">
        <v>49</v>
      </c>
      <c r="B51" s="82">
        <v>2101049</v>
      </c>
      <c r="C51" s="82" t="s">
        <v>268</v>
      </c>
      <c r="D51" s="82" t="s">
        <v>117</v>
      </c>
      <c r="E51" s="80" t="s">
        <v>210</v>
      </c>
      <c r="F51" s="82">
        <v>3</v>
      </c>
      <c r="G51" s="82" t="s">
        <v>69</v>
      </c>
      <c r="H51" s="93">
        <v>44439</v>
      </c>
      <c r="I51" s="82">
        <v>23263</v>
      </c>
      <c r="J51" s="82">
        <v>0.01</v>
      </c>
      <c r="K51" s="82">
        <v>232.63</v>
      </c>
      <c r="N51" s="82" t="str">
        <f t="shared" si="23"/>
        <v>111 ถนนสุมนเทวราช แขวงในเวียง เขตเมือง น่าน 12345</v>
      </c>
      <c r="O51" s="82">
        <f t="shared" si="24"/>
        <v>3</v>
      </c>
      <c r="P51" s="82" t="str">
        <f t="shared" si="25"/>
        <v>08410XXX54596</v>
      </c>
      <c r="Q51" s="82" t="str">
        <f t="shared" si="26"/>
        <v>อยากจะรวย36</v>
      </c>
      <c r="R51" s="82" t="str">
        <f t="shared" si="27"/>
        <v/>
      </c>
      <c r="S51" s="82" t="str">
        <f t="shared" si="28"/>
        <v/>
      </c>
      <c r="T51" s="82" t="str">
        <f t="shared" si="29"/>
        <v/>
      </c>
      <c r="U51" s="82" t="str">
        <f t="shared" si="30"/>
        <v>111</v>
      </c>
      <c r="V51" s="82" t="str">
        <f t="shared" si="31"/>
        <v/>
      </c>
      <c r="W51" s="82" t="str">
        <f t="shared" si="32"/>
        <v/>
      </c>
      <c r="X51" s="82" t="str">
        <f t="shared" si="33"/>
        <v>สุมนเทวราช</v>
      </c>
      <c r="Y51" s="82" t="str">
        <f t="shared" si="34"/>
        <v>ในเวียง</v>
      </c>
      <c r="Z51" s="82" t="str">
        <f t="shared" si="35"/>
        <v/>
      </c>
      <c r="AA51" s="82" t="str">
        <f t="shared" si="36"/>
        <v>เมือง</v>
      </c>
      <c r="AB51" s="82" t="str">
        <f t="shared" si="37"/>
        <v>น่าน</v>
      </c>
      <c r="AC51" s="82" t="str">
        <f t="shared" si="38"/>
        <v>12345</v>
      </c>
      <c r="AD51" s="85">
        <f t="shared" si="39"/>
        <v>242766</v>
      </c>
      <c r="AE51" s="82">
        <f t="shared" si="40"/>
        <v>1</v>
      </c>
      <c r="AF51" s="83">
        <f t="shared" si="41"/>
        <v>23263</v>
      </c>
      <c r="AG51" s="83">
        <f t="shared" si="42"/>
        <v>232.63</v>
      </c>
      <c r="AH51" s="82" t="str">
        <f t="shared" si="43"/>
        <v>ค่าเบี้ยประกัน</v>
      </c>
      <c r="AI51" s="82" t="str">
        <f t="shared" si="44"/>
        <v>อยากจะรวย</v>
      </c>
      <c r="AJ51" s="82" t="str">
        <f t="shared" si="45"/>
        <v>36 จำกัด</v>
      </c>
      <c r="AK51" s="82" t="str">
        <f t="shared" si="46"/>
        <v>บริษัท</v>
      </c>
      <c r="AL51" s="82">
        <f>IF(ISBLANK(AH51)=TRUE,"",ROWS($AI$3:AI51))</f>
        <v>49</v>
      </c>
      <c r="AM51" s="82">
        <f>IF('Portfolio 3'!$A$2=O51,AL51,"")</f>
        <v>49</v>
      </c>
      <c r="AN51" s="82" t="str">
        <f>IF(O51='Portfolio 3'!$A$104,AL51,"")</f>
        <v/>
      </c>
      <c r="AO51" s="82" t="str">
        <f>IFERROR(SMALL($AN$3:$AN$101,ROWS($AI$3:AI51)),"")</f>
        <v/>
      </c>
      <c r="AP51" s="82" t="str">
        <f>IFERROR(SMALL($AM$3:$AM$101,ROWS($AI$3:AJ51)),"")</f>
        <v/>
      </c>
    </row>
    <row r="52" spans="1:42" ht="21.75">
      <c r="A52" s="82">
        <v>50</v>
      </c>
      <c r="B52" s="82">
        <v>2101050</v>
      </c>
      <c r="C52" s="82" t="s">
        <v>269</v>
      </c>
      <c r="D52" s="82" t="s">
        <v>101</v>
      </c>
      <c r="E52" s="80" t="s">
        <v>211</v>
      </c>
      <c r="F52" s="82">
        <v>53</v>
      </c>
      <c r="G52" s="82" t="s">
        <v>11</v>
      </c>
      <c r="H52" s="93">
        <v>44197</v>
      </c>
      <c r="I52" s="82">
        <v>28249</v>
      </c>
      <c r="J52" s="82">
        <v>0.03</v>
      </c>
      <c r="K52" s="82">
        <v>847.46999999999991</v>
      </c>
      <c r="N52" s="82" t="str">
        <f t="shared" si="23"/>
        <v>3354 ม.35 ถนนพหลโยธิน แขวงเวียงพางคำ เขตแม่สาย เชียงราย 12345</v>
      </c>
      <c r="O52" s="82">
        <f t="shared" si="24"/>
        <v>53</v>
      </c>
      <c r="P52" s="82" t="str">
        <f t="shared" si="25"/>
        <v>05451XXX62482</v>
      </c>
      <c r="Q52" s="82" t="str">
        <f t="shared" si="26"/>
        <v>นางตัวอย่างสงเจริญสิบเก้า</v>
      </c>
      <c r="R52" s="82" t="str">
        <f t="shared" si="27"/>
        <v/>
      </c>
      <c r="S52" s="82" t="str">
        <f t="shared" si="28"/>
        <v/>
      </c>
      <c r="T52" s="82" t="str">
        <f t="shared" si="29"/>
        <v/>
      </c>
      <c r="U52" s="82" t="str">
        <f t="shared" si="30"/>
        <v>3354</v>
      </c>
      <c r="V52" s="82" t="str">
        <f t="shared" si="31"/>
        <v/>
      </c>
      <c r="W52" s="82" t="str">
        <f t="shared" si="32"/>
        <v/>
      </c>
      <c r="X52" s="82" t="str">
        <f t="shared" si="33"/>
        <v>พหลโยธิน</v>
      </c>
      <c r="Y52" s="82" t="str">
        <f t="shared" si="34"/>
        <v>เวียงพางคำ</v>
      </c>
      <c r="Z52" s="82" t="str">
        <f t="shared" si="35"/>
        <v/>
      </c>
      <c r="AA52" s="82" t="str">
        <f t="shared" si="36"/>
        <v>แม่สาย</v>
      </c>
      <c r="AB52" s="82" t="str">
        <f t="shared" si="37"/>
        <v>เชียงราย</v>
      </c>
      <c r="AC52" s="82" t="str">
        <f t="shared" si="38"/>
        <v>12345</v>
      </c>
      <c r="AD52" s="85">
        <f t="shared" si="39"/>
        <v>242523</v>
      </c>
      <c r="AE52" s="82">
        <f t="shared" si="40"/>
        <v>3</v>
      </c>
      <c r="AF52" s="83">
        <f t="shared" si="41"/>
        <v>28249</v>
      </c>
      <c r="AG52" s="83">
        <f t="shared" si="42"/>
        <v>847.46999999999991</v>
      </c>
      <c r="AH52" s="82" t="str">
        <f t="shared" si="43"/>
        <v>ค่าบริการ</v>
      </c>
      <c r="AI52" s="82" t="str">
        <f t="shared" si="44"/>
        <v/>
      </c>
      <c r="AJ52" s="82" t="str">
        <f t="shared" si="45"/>
        <v/>
      </c>
      <c r="AK52" s="82" t="str">
        <f t="shared" si="46"/>
        <v/>
      </c>
      <c r="AL52" s="82">
        <f>IF(ISBLANK(AH52)=TRUE,"",ROWS($AI$3:AI52))</f>
        <v>50</v>
      </c>
      <c r="AM52" s="82" t="str">
        <f>IF('Portfolio 3'!$A$2=O52,AL52,"")</f>
        <v/>
      </c>
      <c r="AN52" s="82">
        <f>IF(O52='Portfolio 3'!$A$104,AL52,"")</f>
        <v>50</v>
      </c>
      <c r="AO52" s="82" t="str">
        <f>IFERROR(SMALL($AN$3:$AN$101,ROWS($AI$3:AI52)),"")</f>
        <v/>
      </c>
      <c r="AP52" s="82" t="str">
        <f>IFERROR(SMALL($AM$3:$AM$101,ROWS($AI$3:AJ52)),"")</f>
        <v/>
      </c>
    </row>
    <row r="53" spans="1:42" ht="21.75">
      <c r="A53" s="82">
        <v>51</v>
      </c>
      <c r="B53" s="82">
        <v>2101051</v>
      </c>
      <c r="C53" s="82" t="s">
        <v>270</v>
      </c>
      <c r="D53" s="82" t="s">
        <v>102</v>
      </c>
      <c r="E53" s="80" t="s">
        <v>212</v>
      </c>
      <c r="F53" s="82">
        <v>3</v>
      </c>
      <c r="G53" s="82" t="s">
        <v>11</v>
      </c>
      <c r="H53" s="93">
        <v>43623</v>
      </c>
      <c r="I53" s="82">
        <v>28661</v>
      </c>
      <c r="J53" s="82">
        <v>0.03</v>
      </c>
      <c r="K53" s="82">
        <v>859.82999999999993</v>
      </c>
      <c r="N53" s="82" t="str">
        <f t="shared" si="23"/>
        <v>322 หมู่ 35 แขวงท่าสายลวด เขตแม่สอด ตาก 12345</v>
      </c>
      <c r="O53" s="82">
        <f t="shared" si="24"/>
        <v>3</v>
      </c>
      <c r="P53" s="82" t="str">
        <f t="shared" si="25"/>
        <v>09822XXX58092</v>
      </c>
      <c r="Q53" s="82" t="str">
        <f t="shared" si="26"/>
        <v>ตัวอย่าง76</v>
      </c>
      <c r="R53" s="82" t="str">
        <f t="shared" si="27"/>
        <v/>
      </c>
      <c r="S53" s="82" t="str">
        <f t="shared" si="28"/>
        <v/>
      </c>
      <c r="T53" s="82" t="str">
        <f t="shared" si="29"/>
        <v/>
      </c>
      <c r="U53" s="82" t="str">
        <f t="shared" si="30"/>
        <v>322</v>
      </c>
      <c r="V53" s="82" t="str">
        <f t="shared" si="31"/>
        <v>35</v>
      </c>
      <c r="W53" s="82" t="str">
        <f t="shared" si="32"/>
        <v/>
      </c>
      <c r="X53" s="82" t="str">
        <f t="shared" si="33"/>
        <v/>
      </c>
      <c r="Y53" s="82" t="str">
        <f t="shared" si="34"/>
        <v>ท่าสายลวด</v>
      </c>
      <c r="Z53" s="82" t="str">
        <f t="shared" si="35"/>
        <v/>
      </c>
      <c r="AA53" s="82" t="str">
        <f t="shared" si="36"/>
        <v>แม่สอด</v>
      </c>
      <c r="AB53" s="82" t="str">
        <f t="shared" si="37"/>
        <v>ตาก</v>
      </c>
      <c r="AC53" s="82" t="str">
        <f t="shared" si="38"/>
        <v>12345</v>
      </c>
      <c r="AD53" s="85">
        <f t="shared" si="39"/>
        <v>241950</v>
      </c>
      <c r="AE53" s="82">
        <f t="shared" si="40"/>
        <v>3</v>
      </c>
      <c r="AF53" s="83">
        <f t="shared" si="41"/>
        <v>28661</v>
      </c>
      <c r="AG53" s="83">
        <f t="shared" si="42"/>
        <v>859.82999999999993</v>
      </c>
      <c r="AH53" s="82" t="str">
        <f t="shared" si="43"/>
        <v>ค่าบริการ</v>
      </c>
      <c r="AI53" s="82" t="str">
        <f t="shared" si="44"/>
        <v>ตัวอย่าง</v>
      </c>
      <c r="AJ53" s="82" t="str">
        <f t="shared" si="45"/>
        <v>76 จำกัด</v>
      </c>
      <c r="AK53" s="82" t="str">
        <f t="shared" si="46"/>
        <v>บริษัท</v>
      </c>
      <c r="AL53" s="82">
        <f>IF(ISBLANK(AH53)=TRUE,"",ROWS($AI$3:AI53))</f>
        <v>51</v>
      </c>
      <c r="AM53" s="82">
        <f>IF('Portfolio 3'!$A$2=O53,AL53,"")</f>
        <v>51</v>
      </c>
      <c r="AN53" s="82" t="str">
        <f>IF(O53='Portfolio 3'!$A$104,AL53,"")</f>
        <v/>
      </c>
      <c r="AO53" s="82" t="str">
        <f>IFERROR(SMALL($AN$3:$AN$101,ROWS($AI$3:AI53)),"")</f>
        <v/>
      </c>
      <c r="AP53" s="82" t="str">
        <f>IFERROR(SMALL($AM$3:$AM$101,ROWS($AI$3:AJ53)),"")</f>
        <v/>
      </c>
    </row>
    <row r="54" spans="1:42" ht="21.75">
      <c r="A54" s="82">
        <v>52</v>
      </c>
      <c r="B54" s="82">
        <v>2101052</v>
      </c>
      <c r="C54" s="82" t="s">
        <v>271</v>
      </c>
      <c r="D54" s="82" t="s">
        <v>103</v>
      </c>
      <c r="E54" s="80" t="s">
        <v>213</v>
      </c>
      <c r="F54" s="82">
        <v>3</v>
      </c>
      <c r="G54" s="82" t="s">
        <v>11</v>
      </c>
      <c r="H54" s="93">
        <v>43600</v>
      </c>
      <c r="I54" s="82">
        <v>24807</v>
      </c>
      <c r="J54" s="82">
        <v>0.03</v>
      </c>
      <c r="K54" s="82">
        <v>744.20999999999992</v>
      </c>
      <c r="N54" s="82" t="str">
        <f t="shared" si="23"/>
        <v>330 ถนนเชียงใหม่-ลำปาง แขวงป่าตัน เขตเมือง เชียงใหม่ 12345</v>
      </c>
      <c r="O54" s="82">
        <f t="shared" si="24"/>
        <v>3</v>
      </c>
      <c r="P54" s="82" t="str">
        <f t="shared" si="25"/>
        <v>09110XXX01746</v>
      </c>
      <c r="Q54" s="82" t="str">
        <f t="shared" si="26"/>
        <v>ตัวอย่าง42</v>
      </c>
      <c r="R54" s="82" t="str">
        <f t="shared" si="27"/>
        <v/>
      </c>
      <c r="S54" s="82" t="str">
        <f t="shared" si="28"/>
        <v/>
      </c>
      <c r="T54" s="82" t="str">
        <f t="shared" si="29"/>
        <v/>
      </c>
      <c r="U54" s="82" t="str">
        <f t="shared" si="30"/>
        <v>330</v>
      </c>
      <c r="V54" s="82" t="str">
        <f t="shared" si="31"/>
        <v/>
      </c>
      <c r="W54" s="82" t="str">
        <f t="shared" si="32"/>
        <v/>
      </c>
      <c r="X54" s="82" t="str">
        <f t="shared" si="33"/>
        <v>เชียงใหม่-ลำปาง</v>
      </c>
      <c r="Y54" s="82" t="str">
        <f t="shared" si="34"/>
        <v>ป่าตัน</v>
      </c>
      <c r="Z54" s="82" t="str">
        <f t="shared" si="35"/>
        <v/>
      </c>
      <c r="AA54" s="82" t="str">
        <f t="shared" si="36"/>
        <v>เมือง</v>
      </c>
      <c r="AB54" s="82" t="str">
        <f t="shared" si="37"/>
        <v>เชียงใหม่</v>
      </c>
      <c r="AC54" s="82" t="str">
        <f t="shared" si="38"/>
        <v>12345</v>
      </c>
      <c r="AD54" s="85">
        <f t="shared" si="39"/>
        <v>241927</v>
      </c>
      <c r="AE54" s="82">
        <f t="shared" si="40"/>
        <v>3</v>
      </c>
      <c r="AF54" s="83">
        <f t="shared" si="41"/>
        <v>24807</v>
      </c>
      <c r="AG54" s="83">
        <f t="shared" si="42"/>
        <v>744.20999999999992</v>
      </c>
      <c r="AH54" s="82" t="str">
        <f t="shared" si="43"/>
        <v>ค่าบริการ</v>
      </c>
      <c r="AI54" s="82" t="str">
        <f t="shared" si="44"/>
        <v>ตัวอย่าง</v>
      </c>
      <c r="AJ54" s="82" t="str">
        <f t="shared" si="45"/>
        <v>42 จำกัด</v>
      </c>
      <c r="AK54" s="82" t="str">
        <f t="shared" si="46"/>
        <v>บริษัท</v>
      </c>
      <c r="AL54" s="82">
        <f>IF(ISBLANK(AH54)=TRUE,"",ROWS($AI$3:AI54))</f>
        <v>52</v>
      </c>
      <c r="AM54" s="82">
        <f>IF('Portfolio 3'!$A$2=O54,AL54,"")</f>
        <v>52</v>
      </c>
      <c r="AN54" s="82" t="str">
        <f>IF(O54='Portfolio 3'!$A$104,AL54,"")</f>
        <v/>
      </c>
      <c r="AO54" s="82" t="str">
        <f>IFERROR(SMALL($AN$3:$AN$101,ROWS($AI$3:AI54)),"")</f>
        <v/>
      </c>
      <c r="AP54" s="82" t="str">
        <f>IFERROR(SMALL($AM$3:$AM$101,ROWS($AI$3:AJ54)),"")</f>
        <v/>
      </c>
    </row>
    <row r="55" spans="1:42" ht="21.75">
      <c r="A55" s="82">
        <v>53</v>
      </c>
      <c r="B55" s="82">
        <v>2101053</v>
      </c>
      <c r="C55" s="82" t="s">
        <v>272</v>
      </c>
      <c r="D55" s="82" t="s">
        <v>104</v>
      </c>
      <c r="E55" s="80" t="s">
        <v>214</v>
      </c>
      <c r="F55" s="82">
        <v>3</v>
      </c>
      <c r="G55" s="82" t="s">
        <v>11</v>
      </c>
      <c r="H55" s="93">
        <v>44349</v>
      </c>
      <c r="I55" s="82">
        <v>16642</v>
      </c>
      <c r="J55" s="82">
        <v>0.03</v>
      </c>
      <c r="K55" s="82">
        <v>499.26</v>
      </c>
      <c r="N55" s="82" t="str">
        <f t="shared" si="23"/>
        <v>36 หมู่ 350 ถนนเชียงใหม่-สันกำแพง แขวงสันกำแพง เขตสันกำแพง เชียงใหม่ 12345</v>
      </c>
      <c r="O55" s="82">
        <f t="shared" si="24"/>
        <v>3</v>
      </c>
      <c r="P55" s="82" t="str">
        <f t="shared" si="25"/>
        <v>06790XXX02498</v>
      </c>
      <c r="Q55" s="82" t="str">
        <f t="shared" si="26"/>
        <v>ซื้อแล้วรวย80</v>
      </c>
      <c r="R55" s="82" t="str">
        <f t="shared" si="27"/>
        <v/>
      </c>
      <c r="S55" s="82" t="str">
        <f t="shared" si="28"/>
        <v/>
      </c>
      <c r="T55" s="82" t="str">
        <f t="shared" si="29"/>
        <v/>
      </c>
      <c r="U55" s="82" t="str">
        <f t="shared" si="30"/>
        <v>36</v>
      </c>
      <c r="V55" s="82" t="str">
        <f t="shared" si="31"/>
        <v>350</v>
      </c>
      <c r="W55" s="82" t="str">
        <f t="shared" si="32"/>
        <v/>
      </c>
      <c r="X55" s="82" t="str">
        <f t="shared" si="33"/>
        <v>เชียงใหม่-สันกำแพง</v>
      </c>
      <c r="Y55" s="82" t="str">
        <f t="shared" si="34"/>
        <v>สันกำแพง</v>
      </c>
      <c r="Z55" s="82" t="str">
        <f t="shared" si="35"/>
        <v/>
      </c>
      <c r="AA55" s="82" t="str">
        <f t="shared" si="36"/>
        <v>สันกำแพง</v>
      </c>
      <c r="AB55" s="82" t="str">
        <f t="shared" si="37"/>
        <v>เชียงใหม่</v>
      </c>
      <c r="AC55" s="82" t="str">
        <f t="shared" si="38"/>
        <v>12345</v>
      </c>
      <c r="AD55" s="85">
        <f t="shared" si="39"/>
        <v>242676</v>
      </c>
      <c r="AE55" s="82">
        <f t="shared" si="40"/>
        <v>3</v>
      </c>
      <c r="AF55" s="83">
        <f t="shared" si="41"/>
        <v>16642</v>
      </c>
      <c r="AG55" s="83">
        <f t="shared" si="42"/>
        <v>499.26</v>
      </c>
      <c r="AH55" s="82" t="str">
        <f t="shared" si="43"/>
        <v>ค่าบริการ</v>
      </c>
      <c r="AI55" s="82" t="str">
        <f t="shared" si="44"/>
        <v>ซื้อแล้วรวย</v>
      </c>
      <c r="AJ55" s="82" t="str">
        <f t="shared" si="45"/>
        <v>80 จำกัด</v>
      </c>
      <c r="AK55" s="82" t="str">
        <f t="shared" si="46"/>
        <v>บริษัท</v>
      </c>
      <c r="AL55" s="82">
        <f>IF(ISBLANK(AH55)=TRUE,"",ROWS($AI$3:AI55))</f>
        <v>53</v>
      </c>
      <c r="AM55" s="82">
        <f>IF('Portfolio 3'!$A$2=O55,AL55,"")</f>
        <v>53</v>
      </c>
      <c r="AN55" s="82" t="str">
        <f>IF(O55='Portfolio 3'!$A$104,AL55,"")</f>
        <v/>
      </c>
      <c r="AO55" s="82" t="str">
        <f>IFERROR(SMALL($AN$3:$AN$101,ROWS($AI$3:AI55)),"")</f>
        <v/>
      </c>
      <c r="AP55" s="82" t="str">
        <f>IFERROR(SMALL($AM$3:$AM$101,ROWS($AI$3:AJ55)),"")</f>
        <v/>
      </c>
    </row>
    <row r="56" spans="1:42" ht="21.75">
      <c r="A56" s="82">
        <v>54</v>
      </c>
      <c r="B56" s="82">
        <v>2101054</v>
      </c>
      <c r="C56" s="82" t="s">
        <v>273</v>
      </c>
      <c r="D56" s="82" t="s">
        <v>105</v>
      </c>
      <c r="E56" s="80" t="s">
        <v>215</v>
      </c>
      <c r="F56" s="82">
        <v>3</v>
      </c>
      <c r="G56" s="82" t="s">
        <v>11</v>
      </c>
      <c r="H56" s="93">
        <v>43904</v>
      </c>
      <c r="I56" s="82">
        <v>12168</v>
      </c>
      <c r="J56" s="82">
        <v>0.03</v>
      </c>
      <c r="K56" s="82">
        <v>365.03999999999996</v>
      </c>
      <c r="N56" s="82" t="str">
        <f t="shared" si="23"/>
        <v>3935 หมู่ 35 แขวงนครไทย เขตนครไทย พิษณุโลก 12345</v>
      </c>
      <c r="O56" s="82">
        <f t="shared" si="24"/>
        <v>3</v>
      </c>
      <c r="P56" s="82" t="str">
        <f t="shared" si="25"/>
        <v>03205XXX54130</v>
      </c>
      <c r="Q56" s="82" t="str">
        <f t="shared" si="26"/>
        <v>นางตัวอย่างสงเจริญยี่สิบเก้า</v>
      </c>
      <c r="R56" s="82" t="str">
        <f t="shared" si="27"/>
        <v/>
      </c>
      <c r="S56" s="82" t="str">
        <f t="shared" si="28"/>
        <v/>
      </c>
      <c r="T56" s="82" t="str">
        <f t="shared" si="29"/>
        <v/>
      </c>
      <c r="U56" s="82" t="str">
        <f t="shared" si="30"/>
        <v>3935</v>
      </c>
      <c r="V56" s="82" t="str">
        <f t="shared" si="31"/>
        <v>35</v>
      </c>
      <c r="W56" s="82" t="str">
        <f t="shared" si="32"/>
        <v/>
      </c>
      <c r="X56" s="82" t="str">
        <f t="shared" si="33"/>
        <v/>
      </c>
      <c r="Y56" s="82" t="str">
        <f t="shared" si="34"/>
        <v>นครไทย</v>
      </c>
      <c r="Z56" s="82" t="str">
        <f t="shared" si="35"/>
        <v/>
      </c>
      <c r="AA56" s="82" t="str">
        <f t="shared" si="36"/>
        <v>นครไทย</v>
      </c>
      <c r="AB56" s="82" t="str">
        <f t="shared" si="37"/>
        <v>พิษณุโลก</v>
      </c>
      <c r="AC56" s="82" t="str">
        <f t="shared" si="38"/>
        <v>12345</v>
      </c>
      <c r="AD56" s="85">
        <f t="shared" si="39"/>
        <v>242230</v>
      </c>
      <c r="AE56" s="82">
        <f t="shared" si="40"/>
        <v>3</v>
      </c>
      <c r="AF56" s="83">
        <f t="shared" si="41"/>
        <v>12168</v>
      </c>
      <c r="AG56" s="83">
        <f t="shared" si="42"/>
        <v>365.03999999999996</v>
      </c>
      <c r="AH56" s="82" t="str">
        <f t="shared" si="43"/>
        <v>ค่าบริการ</v>
      </c>
      <c r="AI56" s="82" t="str">
        <f t="shared" si="44"/>
        <v>ตัวอย่าง</v>
      </c>
      <c r="AJ56" s="82" t="str">
        <f t="shared" si="45"/>
        <v>สงเจริญยี่สิบเก้า</v>
      </c>
      <c r="AK56" s="82" t="str">
        <f t="shared" si="46"/>
        <v>นาง</v>
      </c>
      <c r="AL56" s="82">
        <f>IF(ISBLANK(AH56)=TRUE,"",ROWS($AI$3:AI56))</f>
        <v>54</v>
      </c>
      <c r="AM56" s="82">
        <f>IF('Portfolio 3'!$A$2=O56,AL56,"")</f>
        <v>54</v>
      </c>
      <c r="AN56" s="82" t="str">
        <f>IF(O56='Portfolio 3'!$A$104,AL56,"")</f>
        <v/>
      </c>
      <c r="AO56" s="82" t="str">
        <f>IFERROR(SMALL($AN$3:$AN$101,ROWS($AI$3:AI56)),"")</f>
        <v/>
      </c>
      <c r="AP56" s="82" t="str">
        <f>IFERROR(SMALL($AM$3:$AM$101,ROWS($AI$3:AJ56)),"")</f>
        <v/>
      </c>
    </row>
    <row r="57" spans="1:42" ht="21.75">
      <c r="A57" s="82">
        <v>55</v>
      </c>
      <c r="B57" s="82">
        <v>2101055</v>
      </c>
      <c r="C57" s="82" t="s">
        <v>274</v>
      </c>
      <c r="D57" s="82" t="s">
        <v>118</v>
      </c>
      <c r="E57" s="80" t="s">
        <v>216</v>
      </c>
      <c r="F57" s="82">
        <v>3</v>
      </c>
      <c r="G57" s="82" t="s">
        <v>11</v>
      </c>
      <c r="H57" s="93">
        <v>44294</v>
      </c>
      <c r="I57" s="82">
        <v>15898</v>
      </c>
      <c r="J57" s="82">
        <v>0.03</v>
      </c>
      <c r="K57" s="82">
        <v>476.94</v>
      </c>
      <c r="N57" s="82" t="str">
        <f t="shared" si="23"/>
        <v>3508 หมู่ 7 แขวงกลางดง เขตทุ่งเสลี่ยม สุโขทัย 12345</v>
      </c>
      <c r="O57" s="82">
        <f t="shared" si="24"/>
        <v>3</v>
      </c>
      <c r="P57" s="82" t="str">
        <f t="shared" si="25"/>
        <v>06590XXX34203</v>
      </c>
      <c r="Q57" s="82" t="str">
        <f t="shared" si="26"/>
        <v>พิ่งเปิด84</v>
      </c>
      <c r="R57" s="82" t="str">
        <f t="shared" si="27"/>
        <v/>
      </c>
      <c r="S57" s="82" t="str">
        <f t="shared" si="28"/>
        <v/>
      </c>
      <c r="T57" s="82" t="str">
        <f t="shared" si="29"/>
        <v/>
      </c>
      <c r="U57" s="82" t="str">
        <f t="shared" si="30"/>
        <v>3508</v>
      </c>
      <c r="V57" s="82" t="str">
        <f t="shared" si="31"/>
        <v>7</v>
      </c>
      <c r="W57" s="82" t="str">
        <f t="shared" si="32"/>
        <v/>
      </c>
      <c r="X57" s="82" t="str">
        <f t="shared" si="33"/>
        <v/>
      </c>
      <c r="Y57" s="82" t="str">
        <f t="shared" si="34"/>
        <v>กลางดง</v>
      </c>
      <c r="Z57" s="82" t="str">
        <f t="shared" si="35"/>
        <v/>
      </c>
      <c r="AA57" s="82" t="str">
        <f t="shared" si="36"/>
        <v>ทุ่งเสลี่ยม</v>
      </c>
      <c r="AB57" s="82" t="str">
        <f t="shared" si="37"/>
        <v>สุโขทัย</v>
      </c>
      <c r="AC57" s="82" t="str">
        <f t="shared" si="38"/>
        <v>12345</v>
      </c>
      <c r="AD57" s="85">
        <f t="shared" si="39"/>
        <v>242621</v>
      </c>
      <c r="AE57" s="82">
        <f t="shared" si="40"/>
        <v>3</v>
      </c>
      <c r="AF57" s="83">
        <f t="shared" si="41"/>
        <v>15898</v>
      </c>
      <c r="AG57" s="83">
        <f t="shared" si="42"/>
        <v>476.94</v>
      </c>
      <c r="AH57" s="82" t="str">
        <f t="shared" si="43"/>
        <v>ค่าบริการ</v>
      </c>
      <c r="AI57" s="82" t="str">
        <f t="shared" si="44"/>
        <v>พิ่งเปิด</v>
      </c>
      <c r="AJ57" s="82" t="str">
        <f t="shared" si="45"/>
        <v>84 จำกัด</v>
      </c>
      <c r="AK57" s="82" t="str">
        <f t="shared" si="46"/>
        <v>บริษัท</v>
      </c>
      <c r="AL57" s="82">
        <f>IF(ISBLANK(AH57)=TRUE,"",ROWS($AI$3:AI57))</f>
        <v>55</v>
      </c>
      <c r="AM57" s="82">
        <f>IF('Portfolio 3'!$A$2=O57,AL57,"")</f>
        <v>55</v>
      </c>
      <c r="AN57" s="82" t="str">
        <f>IF(O57='Portfolio 3'!$A$104,AL57,"")</f>
        <v/>
      </c>
      <c r="AO57" s="82" t="str">
        <f>IFERROR(SMALL($AN$3:$AN$101,ROWS($AI$3:AI57)),"")</f>
        <v/>
      </c>
      <c r="AP57" s="82" t="str">
        <f>IFERROR(SMALL($AM$3:$AM$101,ROWS($AI$3:AJ57)),"")</f>
        <v/>
      </c>
    </row>
    <row r="58" spans="1:42" ht="21.75">
      <c r="A58" s="82">
        <v>56</v>
      </c>
      <c r="B58" s="82">
        <v>2101056</v>
      </c>
      <c r="C58" s="82" t="s">
        <v>275</v>
      </c>
      <c r="D58" s="82" t="s">
        <v>119</v>
      </c>
      <c r="E58" s="80" t="s">
        <v>217</v>
      </c>
      <c r="F58" s="82">
        <v>3</v>
      </c>
      <c r="G58" s="82" t="s">
        <v>11</v>
      </c>
      <c r="H58" s="93">
        <v>44170</v>
      </c>
      <c r="I58" s="82">
        <v>11895</v>
      </c>
      <c r="J58" s="82">
        <v>0.03</v>
      </c>
      <c r="K58" s="82">
        <v>356.84999999999997</v>
      </c>
      <c r="N58" s="82" t="str">
        <f t="shared" si="23"/>
        <v>353520 หมู่ 35 ถนนไกรสรสิทธิ์ แขวงเวียง เขตเมือง เชียงราย 12345</v>
      </c>
      <c r="O58" s="82">
        <f t="shared" si="24"/>
        <v>3</v>
      </c>
      <c r="P58" s="82" t="str">
        <f t="shared" si="25"/>
        <v>02420XXX57354</v>
      </c>
      <c r="Q58" s="82" t="str">
        <f t="shared" si="26"/>
        <v>ตัวอย่าง70</v>
      </c>
      <c r="R58" s="82" t="str">
        <f t="shared" si="27"/>
        <v/>
      </c>
      <c r="S58" s="82" t="str">
        <f t="shared" si="28"/>
        <v/>
      </c>
      <c r="T58" s="82" t="str">
        <f t="shared" si="29"/>
        <v/>
      </c>
      <c r="U58" s="82" t="str">
        <f t="shared" si="30"/>
        <v>353520</v>
      </c>
      <c r="V58" s="82" t="str">
        <f t="shared" si="31"/>
        <v>35</v>
      </c>
      <c r="W58" s="82" t="str">
        <f t="shared" si="32"/>
        <v/>
      </c>
      <c r="X58" s="82" t="str">
        <f t="shared" si="33"/>
        <v>ไกรสรสิทธิ์</v>
      </c>
      <c r="Y58" s="82" t="str">
        <f t="shared" si="34"/>
        <v>เวียง</v>
      </c>
      <c r="Z58" s="82" t="str">
        <f t="shared" si="35"/>
        <v/>
      </c>
      <c r="AA58" s="82" t="str">
        <f t="shared" si="36"/>
        <v>เมือง</v>
      </c>
      <c r="AB58" s="82" t="str">
        <f t="shared" si="37"/>
        <v>เชียงราย</v>
      </c>
      <c r="AC58" s="82" t="str">
        <f t="shared" si="38"/>
        <v>12345</v>
      </c>
      <c r="AD58" s="85">
        <f t="shared" si="39"/>
        <v>242496</v>
      </c>
      <c r="AE58" s="82">
        <f t="shared" si="40"/>
        <v>3</v>
      </c>
      <c r="AF58" s="83">
        <f t="shared" si="41"/>
        <v>11895</v>
      </c>
      <c r="AG58" s="83">
        <f t="shared" si="42"/>
        <v>356.84999999999997</v>
      </c>
      <c r="AH58" s="82" t="str">
        <f t="shared" si="43"/>
        <v>ค่าบริการ</v>
      </c>
      <c r="AI58" s="82" t="str">
        <f t="shared" si="44"/>
        <v>ตัวอย่าง</v>
      </c>
      <c r="AJ58" s="82" t="str">
        <f t="shared" si="45"/>
        <v>70 จำกัด</v>
      </c>
      <c r="AK58" s="82" t="str">
        <f t="shared" si="46"/>
        <v>บริษัท</v>
      </c>
      <c r="AL58" s="82">
        <f>IF(ISBLANK(AH58)=TRUE,"",ROWS($AI$3:AI58))</f>
        <v>56</v>
      </c>
      <c r="AM58" s="82">
        <f>IF('Portfolio 3'!$A$2=O58,AL58,"")</f>
        <v>56</v>
      </c>
      <c r="AN58" s="82" t="str">
        <f>IF(O58='Portfolio 3'!$A$104,AL58,"")</f>
        <v/>
      </c>
      <c r="AO58" s="82" t="str">
        <f>IFERROR(SMALL($AN$3:$AN$101,ROWS($AI$3:AI58)),"")</f>
        <v/>
      </c>
      <c r="AP58" s="82" t="str">
        <f>IFERROR(SMALL($AM$3:$AM$101,ROWS($AI$3:AJ58)),"")</f>
        <v/>
      </c>
    </row>
    <row r="59" spans="1:42" ht="21.75">
      <c r="A59" s="82">
        <v>57</v>
      </c>
      <c r="B59" s="82">
        <v>2101057</v>
      </c>
      <c r="C59" s="82" t="s">
        <v>276</v>
      </c>
      <c r="D59" s="82" t="s">
        <v>120</v>
      </c>
      <c r="E59" s="80" t="s">
        <v>218</v>
      </c>
      <c r="F59" s="82">
        <v>3</v>
      </c>
      <c r="G59" s="82" t="s">
        <v>11</v>
      </c>
      <c r="H59" s="93">
        <v>43791</v>
      </c>
      <c r="I59" s="82">
        <v>27522</v>
      </c>
      <c r="J59" s="82">
        <v>0.03</v>
      </c>
      <c r="K59" s="82">
        <v>825.66</v>
      </c>
      <c r="N59" s="82" t="str">
        <f t="shared" si="23"/>
        <v>35356 หมู่ 5 แขวงหนองฉาง เขตหนองฉาง อุทัยธานี 12345</v>
      </c>
      <c r="O59" s="82">
        <f t="shared" si="24"/>
        <v>3</v>
      </c>
      <c r="P59" s="82" t="str">
        <f t="shared" si="25"/>
        <v>09347XXX35049</v>
      </c>
      <c r="Q59" s="82" t="str">
        <f t="shared" si="26"/>
        <v>นายพิ่งเปิดมาคงสัยสามสิบเจ็ด</v>
      </c>
      <c r="R59" s="82" t="str">
        <f t="shared" si="27"/>
        <v/>
      </c>
      <c r="S59" s="82" t="str">
        <f t="shared" si="28"/>
        <v/>
      </c>
      <c r="T59" s="82" t="str">
        <f t="shared" si="29"/>
        <v/>
      </c>
      <c r="U59" s="82" t="str">
        <f t="shared" si="30"/>
        <v>35356</v>
      </c>
      <c r="V59" s="82" t="str">
        <f t="shared" si="31"/>
        <v>5</v>
      </c>
      <c r="W59" s="82" t="str">
        <f t="shared" si="32"/>
        <v/>
      </c>
      <c r="X59" s="82" t="str">
        <f t="shared" si="33"/>
        <v/>
      </c>
      <c r="Y59" s="82" t="str">
        <f t="shared" si="34"/>
        <v>หนองฉาง</v>
      </c>
      <c r="Z59" s="82" t="str">
        <f t="shared" si="35"/>
        <v/>
      </c>
      <c r="AA59" s="82" t="str">
        <f t="shared" si="36"/>
        <v>หนองฉาง</v>
      </c>
      <c r="AB59" s="82" t="str">
        <f t="shared" si="37"/>
        <v>อุทัยธานี</v>
      </c>
      <c r="AC59" s="82" t="str">
        <f t="shared" si="38"/>
        <v>12345</v>
      </c>
      <c r="AD59" s="85">
        <f t="shared" si="39"/>
        <v>242118</v>
      </c>
      <c r="AE59" s="82">
        <f t="shared" si="40"/>
        <v>3</v>
      </c>
      <c r="AF59" s="83">
        <f t="shared" si="41"/>
        <v>27522</v>
      </c>
      <c r="AG59" s="83">
        <f t="shared" si="42"/>
        <v>825.66</v>
      </c>
      <c r="AH59" s="82" t="str">
        <f t="shared" si="43"/>
        <v>ค่าบริการ</v>
      </c>
      <c r="AI59" s="82" t="str">
        <f t="shared" si="44"/>
        <v>พิ่งเปิด</v>
      </c>
      <c r="AJ59" s="82" t="str">
        <f t="shared" si="45"/>
        <v>มาคงสัยสามสิบเจ็ด</v>
      </c>
      <c r="AK59" s="82" t="str">
        <f t="shared" si="46"/>
        <v>นาย</v>
      </c>
      <c r="AL59" s="82">
        <f>IF(ISBLANK(AH59)=TRUE,"",ROWS($AI$3:AI59))</f>
        <v>57</v>
      </c>
      <c r="AM59" s="82">
        <f>IF('Portfolio 3'!$A$2=O59,AL59,"")</f>
        <v>57</v>
      </c>
      <c r="AN59" s="82" t="str">
        <f>IF(O59='Portfolio 3'!$A$104,AL59,"")</f>
        <v/>
      </c>
      <c r="AO59" s="82" t="str">
        <f>IFERROR(SMALL($AN$3:$AN$101,ROWS($AI$3:AI59)),"")</f>
        <v/>
      </c>
      <c r="AP59" s="82" t="str">
        <f>IFERROR(SMALL($AM$3:$AM$101,ROWS($AI$3:AJ59)),"")</f>
        <v/>
      </c>
    </row>
    <row r="60" spans="1:42" ht="21.75">
      <c r="A60" s="82">
        <v>58</v>
      </c>
      <c r="B60" s="82">
        <v>2101058</v>
      </c>
      <c r="C60" s="82" t="s">
        <v>277</v>
      </c>
      <c r="D60" s="82" t="s">
        <v>121</v>
      </c>
      <c r="E60" s="80" t="s">
        <v>219</v>
      </c>
      <c r="F60" s="82">
        <v>53</v>
      </c>
      <c r="G60" s="82" t="s">
        <v>14</v>
      </c>
      <c r="H60" s="93">
        <v>44126</v>
      </c>
      <c r="I60" s="82">
        <v>16339</v>
      </c>
      <c r="J60" s="82">
        <v>0.02</v>
      </c>
      <c r="K60" s="82">
        <v>326.78000000000003</v>
      </c>
      <c r="N60" s="82" t="str">
        <f t="shared" si="23"/>
        <v>1234 ถนนสุมนเทวราช แขวงในเวียง เขตเมือง น่าน 12345</v>
      </c>
      <c r="O60" s="82">
        <f t="shared" si="24"/>
        <v>53</v>
      </c>
      <c r="P60" s="82" t="str">
        <f t="shared" si="25"/>
        <v>05815XXX01016</v>
      </c>
      <c r="Q60" s="82" t="str">
        <f t="shared" si="26"/>
        <v>นายพิ่งเปิดมาคงสัยยี่สิบสาม</v>
      </c>
      <c r="R60" s="82" t="str">
        <f t="shared" si="27"/>
        <v/>
      </c>
      <c r="S60" s="82" t="str">
        <f t="shared" si="28"/>
        <v/>
      </c>
      <c r="T60" s="82" t="str">
        <f t="shared" si="29"/>
        <v/>
      </c>
      <c r="U60" s="82" t="str">
        <f t="shared" si="30"/>
        <v>1234</v>
      </c>
      <c r="V60" s="82" t="str">
        <f t="shared" si="31"/>
        <v/>
      </c>
      <c r="W60" s="82" t="str">
        <f t="shared" si="32"/>
        <v/>
      </c>
      <c r="X60" s="82" t="str">
        <f t="shared" si="33"/>
        <v>สุมนเทวราช</v>
      </c>
      <c r="Y60" s="82" t="str">
        <f t="shared" si="34"/>
        <v>ในเวียง</v>
      </c>
      <c r="Z60" s="82" t="str">
        <f t="shared" si="35"/>
        <v/>
      </c>
      <c r="AA60" s="82" t="str">
        <f t="shared" si="36"/>
        <v>เมือง</v>
      </c>
      <c r="AB60" s="82" t="str">
        <f t="shared" si="37"/>
        <v>น่าน</v>
      </c>
      <c r="AC60" s="82" t="str">
        <f t="shared" si="38"/>
        <v>12345</v>
      </c>
      <c r="AD60" s="85">
        <f t="shared" si="39"/>
        <v>242452</v>
      </c>
      <c r="AE60" s="82">
        <f t="shared" si="40"/>
        <v>2</v>
      </c>
      <c r="AF60" s="83">
        <f t="shared" si="41"/>
        <v>16339</v>
      </c>
      <c r="AG60" s="83">
        <f t="shared" si="42"/>
        <v>326.78000000000003</v>
      </c>
      <c r="AH60" s="82" t="str">
        <f t="shared" si="43"/>
        <v>ค่าโฆษณา</v>
      </c>
      <c r="AI60" s="82" t="str">
        <f t="shared" si="44"/>
        <v/>
      </c>
      <c r="AJ60" s="82" t="str">
        <f t="shared" si="45"/>
        <v/>
      </c>
      <c r="AK60" s="82" t="str">
        <f t="shared" si="46"/>
        <v/>
      </c>
      <c r="AL60" s="82">
        <f>IF(ISBLANK(AH60)=TRUE,"",ROWS($AI$3:AI60))</f>
        <v>58</v>
      </c>
      <c r="AM60" s="82" t="str">
        <f>IF('Portfolio 3'!$A$2=O60,AL60,"")</f>
        <v/>
      </c>
      <c r="AN60" s="82">
        <f>IF(O60='Portfolio 3'!$A$104,AL60,"")</f>
        <v>58</v>
      </c>
      <c r="AO60" s="82" t="str">
        <f>IFERROR(SMALL($AN$3:$AN$101,ROWS($AI$3:AI60)),"")</f>
        <v/>
      </c>
      <c r="AP60" s="82" t="str">
        <f>IFERROR(SMALL($AM$3:$AM$101,ROWS($AI$3:AJ60)),"")</f>
        <v/>
      </c>
    </row>
    <row r="61" spans="1:42">
      <c r="A61" s="82"/>
      <c r="B61" s="82"/>
      <c r="C61" s="82"/>
      <c r="D61" s="82"/>
      <c r="E61" s="82"/>
      <c r="F61" s="82"/>
      <c r="G61" s="82"/>
      <c r="I61" s="82"/>
      <c r="J61" s="82"/>
      <c r="K61" s="82"/>
      <c r="N61" s="82" t="str">
        <f t="shared" si="23"/>
        <v/>
      </c>
      <c r="O61" s="82" t="str">
        <f t="shared" si="24"/>
        <v/>
      </c>
      <c r="P61" s="82" t="str">
        <f t="shared" si="25"/>
        <v/>
      </c>
      <c r="Q61" s="82" t="str">
        <f t="shared" si="26"/>
        <v/>
      </c>
      <c r="R61" s="82" t="str">
        <f t="shared" si="27"/>
        <v/>
      </c>
      <c r="S61" s="82" t="str">
        <f t="shared" si="28"/>
        <v/>
      </c>
      <c r="T61" s="82" t="str">
        <f t="shared" si="29"/>
        <v/>
      </c>
      <c r="U61" s="82" t="str">
        <f t="shared" si="30"/>
        <v/>
      </c>
      <c r="V61" s="82" t="str">
        <f t="shared" si="31"/>
        <v/>
      </c>
      <c r="W61" s="82" t="str">
        <f t="shared" si="32"/>
        <v/>
      </c>
      <c r="X61" s="82" t="str">
        <f t="shared" si="33"/>
        <v/>
      </c>
      <c r="Y61" s="82" t="str">
        <f t="shared" si="34"/>
        <v/>
      </c>
      <c r="Z61" s="82" t="str">
        <f t="shared" si="35"/>
        <v/>
      </c>
      <c r="AA61" s="82" t="str">
        <f t="shared" si="36"/>
        <v/>
      </c>
      <c r="AB61" s="82" t="str">
        <f t="shared" si="37"/>
        <v/>
      </c>
      <c r="AC61" s="82" t="str">
        <f t="shared" si="38"/>
        <v/>
      </c>
      <c r="AD61" s="85" t="str">
        <f t="shared" si="39"/>
        <v/>
      </c>
      <c r="AE61" s="82" t="str">
        <f t="shared" si="40"/>
        <v/>
      </c>
      <c r="AF61" s="83" t="str">
        <f t="shared" si="41"/>
        <v/>
      </c>
      <c r="AG61" s="83" t="str">
        <f t="shared" si="42"/>
        <v/>
      </c>
      <c r="AH61" s="82" t="str">
        <f t="shared" si="43"/>
        <v/>
      </c>
      <c r="AI61" s="82" t="str">
        <f t="shared" si="44"/>
        <v/>
      </c>
      <c r="AJ61" s="82" t="str">
        <f t="shared" si="45"/>
        <v/>
      </c>
      <c r="AK61" s="82" t="str">
        <f t="shared" si="46"/>
        <v/>
      </c>
      <c r="AL61" s="82">
        <f>IF(ISBLANK(AH61)=TRUE,"",ROWS($AI$3:AI61))</f>
        <v>59</v>
      </c>
      <c r="AM61" s="82" t="str">
        <f>IF('Portfolio 3'!$A$2=O61,AL61,"")</f>
        <v/>
      </c>
      <c r="AN61" s="82" t="str">
        <f>IF(O61='Portfolio 3'!$A$104,AL61,"")</f>
        <v/>
      </c>
      <c r="AO61" s="82" t="str">
        <f>IFERROR(SMALL($AN$3:$AN$101,ROWS($AI$3:AI61)),"")</f>
        <v/>
      </c>
      <c r="AP61" s="82" t="str">
        <f>IFERROR(SMALL($AM$3:$AM$101,ROWS($AI$3:AJ61)),"")</f>
        <v/>
      </c>
    </row>
    <row r="62" spans="1:42">
      <c r="A62" s="82"/>
      <c r="B62" s="82"/>
      <c r="C62" s="82"/>
      <c r="D62" s="82"/>
      <c r="E62" s="82"/>
      <c r="F62" s="82"/>
      <c r="G62" s="82"/>
      <c r="I62" s="82"/>
      <c r="J62" s="82"/>
      <c r="K62" s="82"/>
      <c r="N62" s="82" t="str">
        <f t="shared" si="23"/>
        <v/>
      </c>
      <c r="O62" s="82" t="str">
        <f t="shared" si="24"/>
        <v/>
      </c>
      <c r="P62" s="82" t="str">
        <f t="shared" si="25"/>
        <v/>
      </c>
      <c r="Q62" s="82" t="str">
        <f t="shared" si="26"/>
        <v/>
      </c>
      <c r="R62" s="82" t="str">
        <f t="shared" si="27"/>
        <v/>
      </c>
      <c r="S62" s="82" t="str">
        <f t="shared" si="28"/>
        <v/>
      </c>
      <c r="T62" s="82" t="str">
        <f t="shared" si="29"/>
        <v/>
      </c>
      <c r="U62" s="82" t="str">
        <f t="shared" si="30"/>
        <v/>
      </c>
      <c r="V62" s="82" t="str">
        <f t="shared" si="31"/>
        <v/>
      </c>
      <c r="W62" s="82" t="str">
        <f t="shared" si="32"/>
        <v/>
      </c>
      <c r="X62" s="82" t="str">
        <f t="shared" si="33"/>
        <v/>
      </c>
      <c r="Y62" s="82" t="str">
        <f t="shared" si="34"/>
        <v/>
      </c>
      <c r="Z62" s="82" t="str">
        <f t="shared" si="35"/>
        <v/>
      </c>
      <c r="AA62" s="82" t="str">
        <f t="shared" si="36"/>
        <v/>
      </c>
      <c r="AB62" s="82" t="str">
        <f t="shared" si="37"/>
        <v/>
      </c>
      <c r="AC62" s="82" t="str">
        <f t="shared" si="38"/>
        <v/>
      </c>
      <c r="AD62" s="85" t="str">
        <f t="shared" si="39"/>
        <v/>
      </c>
      <c r="AE62" s="82" t="str">
        <f t="shared" si="40"/>
        <v/>
      </c>
      <c r="AF62" s="83" t="str">
        <f t="shared" si="41"/>
        <v/>
      </c>
      <c r="AG62" s="83" t="str">
        <f t="shared" si="42"/>
        <v/>
      </c>
      <c r="AH62" s="82" t="str">
        <f t="shared" si="43"/>
        <v/>
      </c>
      <c r="AI62" s="82" t="str">
        <f t="shared" si="44"/>
        <v/>
      </c>
      <c r="AJ62" s="82" t="str">
        <f t="shared" si="45"/>
        <v/>
      </c>
      <c r="AK62" s="82" t="str">
        <f t="shared" si="46"/>
        <v/>
      </c>
      <c r="AL62" s="82">
        <f>IF(ISBLANK(AH62)=TRUE,"",ROWS($AI$3:AI62))</f>
        <v>60</v>
      </c>
      <c r="AM62" s="82" t="str">
        <f>IF('Portfolio 3'!$A$2=O62,AL62,"")</f>
        <v/>
      </c>
      <c r="AN62" s="82" t="str">
        <f>IF(O62='Portfolio 3'!$A$104,AL62,"")</f>
        <v/>
      </c>
      <c r="AO62" s="82" t="str">
        <f>IFERROR(SMALL($AN$3:$AN$101,ROWS($AI$3:AI62)),"")</f>
        <v/>
      </c>
      <c r="AP62" s="82" t="str">
        <f>IFERROR(SMALL($AM$3:$AM$101,ROWS($AI$3:AJ62)),"")</f>
        <v/>
      </c>
    </row>
    <row r="63" spans="1:42">
      <c r="A63" s="82"/>
      <c r="B63" s="82"/>
      <c r="C63" s="82"/>
      <c r="D63" s="82"/>
      <c r="E63" s="82"/>
      <c r="F63" s="82"/>
      <c r="G63" s="82"/>
      <c r="I63" s="82"/>
      <c r="J63" s="82"/>
      <c r="K63" s="82"/>
      <c r="N63" s="82" t="str">
        <f t="shared" si="23"/>
        <v/>
      </c>
      <c r="O63" s="82" t="str">
        <f t="shared" si="24"/>
        <v/>
      </c>
      <c r="P63" s="82" t="str">
        <f t="shared" si="25"/>
        <v/>
      </c>
      <c r="Q63" s="82" t="str">
        <f t="shared" si="26"/>
        <v/>
      </c>
      <c r="R63" s="82" t="str">
        <f t="shared" si="27"/>
        <v/>
      </c>
      <c r="S63" s="82" t="str">
        <f t="shared" si="28"/>
        <v/>
      </c>
      <c r="T63" s="82" t="str">
        <f t="shared" si="29"/>
        <v/>
      </c>
      <c r="U63" s="82" t="str">
        <f t="shared" si="30"/>
        <v/>
      </c>
      <c r="V63" s="82" t="str">
        <f t="shared" si="31"/>
        <v/>
      </c>
      <c r="W63" s="82" t="str">
        <f t="shared" si="32"/>
        <v/>
      </c>
      <c r="X63" s="82" t="str">
        <f t="shared" si="33"/>
        <v/>
      </c>
      <c r="Y63" s="82" t="str">
        <f t="shared" si="34"/>
        <v/>
      </c>
      <c r="Z63" s="82" t="str">
        <f t="shared" si="35"/>
        <v/>
      </c>
      <c r="AA63" s="82" t="str">
        <f t="shared" si="36"/>
        <v/>
      </c>
      <c r="AB63" s="82" t="str">
        <f t="shared" si="37"/>
        <v/>
      </c>
      <c r="AC63" s="82" t="str">
        <f t="shared" si="38"/>
        <v/>
      </c>
      <c r="AD63" s="85" t="str">
        <f t="shared" si="39"/>
        <v/>
      </c>
      <c r="AE63" s="82" t="str">
        <f t="shared" si="40"/>
        <v/>
      </c>
      <c r="AF63" s="83" t="str">
        <f t="shared" si="41"/>
        <v/>
      </c>
      <c r="AG63" s="83" t="str">
        <f t="shared" si="42"/>
        <v/>
      </c>
      <c r="AH63" s="82" t="str">
        <f t="shared" si="43"/>
        <v/>
      </c>
      <c r="AI63" s="82" t="str">
        <f>IF(O101=3,MID(C63,FIND(" ",C63)+1,FIND(" ",C63,FIND(" ",C63)+1)-FIND(" ",C63)-1),"")</f>
        <v/>
      </c>
      <c r="AJ63" s="82" t="str">
        <f>IFERROR(IF(O101=3,RIGHT(C63,LEN(C63)-FIND(" ",C63,FIND(" ",C63)+1)),""),"")</f>
        <v/>
      </c>
      <c r="AK63" s="82" t="str">
        <f>IF(O101=3,LEFT(C63,FIND(" ",C63)-1),"")</f>
        <v/>
      </c>
      <c r="AL63" s="82">
        <f>IF(ISBLANK(AH101)=TRUE,"",ROWS($AI$3:AI101))</f>
        <v>99</v>
      </c>
      <c r="AM63" s="82" t="str">
        <f>IF('Portfolio 3'!$A$2=O101,AL101,"")</f>
        <v/>
      </c>
      <c r="AN63" s="82" t="str">
        <f>IF(O101='Portfolio 3'!$A$104,AL101,"")</f>
        <v/>
      </c>
      <c r="AO63" s="82" t="str">
        <f>IFERROR(SMALL($AN$3:$AN$101,ROWS($AI$3:AI101)),"")</f>
        <v/>
      </c>
      <c r="AP63" s="82" t="str">
        <f>IFERROR(SMALL($AM$3:$AM$101,ROWS($AI$3:AJ101)),"")</f>
        <v/>
      </c>
    </row>
    <row r="64" spans="1:42">
      <c r="A64" s="82"/>
      <c r="B64" s="82"/>
      <c r="C64" s="82"/>
      <c r="D64" s="82"/>
      <c r="E64" s="82"/>
      <c r="F64" s="82"/>
      <c r="G64" s="82"/>
      <c r="I64" s="82"/>
      <c r="J64" s="82"/>
      <c r="K64" s="82"/>
      <c r="N64" s="82" t="str">
        <f t="shared" si="23"/>
        <v/>
      </c>
      <c r="O64" s="82" t="str">
        <f t="shared" si="24"/>
        <v/>
      </c>
      <c r="P64" s="82" t="str">
        <f t="shared" si="25"/>
        <v/>
      </c>
      <c r="Q64" s="82" t="str">
        <f t="shared" si="26"/>
        <v/>
      </c>
      <c r="R64" s="82" t="str">
        <f t="shared" si="27"/>
        <v/>
      </c>
      <c r="S64" s="82" t="str">
        <f t="shared" si="28"/>
        <v/>
      </c>
      <c r="T64" s="82" t="str">
        <f t="shared" si="29"/>
        <v/>
      </c>
      <c r="U64" s="82" t="str">
        <f t="shared" ref="U64:U101" si="47">IFERROR(LEFT(N64,(FIND(" ",N64))-1),"")</f>
        <v/>
      </c>
      <c r="V64" s="82" t="str">
        <f t="shared" si="31"/>
        <v/>
      </c>
      <c r="W64" s="82" t="str">
        <f t="shared" si="32"/>
        <v/>
      </c>
      <c r="X64" s="82" t="str">
        <f t="shared" si="33"/>
        <v/>
      </c>
      <c r="Y64" s="82" t="str">
        <f t="shared" si="34"/>
        <v/>
      </c>
      <c r="Z64" s="82" t="str">
        <f t="shared" si="35"/>
        <v/>
      </c>
      <c r="AA64" s="82" t="str">
        <f t="shared" si="36"/>
        <v/>
      </c>
      <c r="AB64" s="82" t="str">
        <f t="shared" ref="AB64:AB101" si="48">IFERROR(SUBSTITUTE(LEFT(RIGHT(N64,(LEN(N64)-FIND("*",SUBSTITUTE(N64," ","*",LEN(N64)-LEN(SUBSTITUTE(N64," ",""))-1)))),FIND(" ",RIGHT(N64,(LEN(N64)-FIND("*",SUBSTITUTE(N64," ","*",LEN(N64)-LEN(SUBSTITUTE(N64," ",""))-1))))))," ",""),"")</f>
        <v/>
      </c>
      <c r="AC64" s="82" t="str">
        <f t="shared" ref="AC64:AC101" si="49">RIGHT(N64,5)</f>
        <v/>
      </c>
      <c r="AD64" s="85" t="str">
        <f t="shared" si="39"/>
        <v/>
      </c>
      <c r="AE64" s="82" t="str">
        <f t="shared" si="40"/>
        <v/>
      </c>
      <c r="AF64" s="83" t="str">
        <f t="shared" si="41"/>
        <v/>
      </c>
      <c r="AG64" s="83" t="str">
        <f t="shared" si="42"/>
        <v/>
      </c>
      <c r="AH64" s="82" t="str">
        <f t="shared" si="43"/>
        <v/>
      </c>
      <c r="AI64" s="82" t="str">
        <f t="shared" ref="AI64:AI101" si="50">IF(Y102=3,MID(C64,FIND(" ",C64)+1,FIND(" ",C64,FIND(" ",C64)+1)-FIND(" ",C64)-1),"")</f>
        <v/>
      </c>
      <c r="AJ64" s="82" t="str">
        <f t="shared" ref="AJ64:AJ101" si="51">IFERROR(IF(Y102=3,RIGHT(C64,LEN(C64)-FIND(" ",C64,FIND(" ",C64)+1)),""),"")</f>
        <v/>
      </c>
      <c r="AK64" s="82" t="str">
        <f t="shared" ref="AK64:AK101" si="52">IF(Y102=3,LEFT(C64,FIND(" ",C64)-1),"")</f>
        <v/>
      </c>
      <c r="AL64" s="82" t="str">
        <f>IF(ISBLANK(AR102)=TRUE,"",ROWS($AS$3:AS102))</f>
        <v/>
      </c>
      <c r="AM64" s="82" t="str">
        <f>IF('Portfolio 3'!$A$2=Y102,AV102,"")</f>
        <v/>
      </c>
      <c r="AN64" s="82" t="str">
        <f>IF(Y102='Portfolio 3'!$A$104,AV102,"")</f>
        <v/>
      </c>
      <c r="AO64" s="82" t="str">
        <f>IFERROR(SMALL($AN$3:$AN$101,ROWS($AS$3:AS102)),"")</f>
        <v/>
      </c>
      <c r="AP64" s="82" t="str">
        <f>IFERROR(SMALL($AM$3:$AM$101,ROWS($AS$3:AT102)),"")</f>
        <v/>
      </c>
    </row>
    <row r="65" spans="1:42">
      <c r="A65" s="82"/>
      <c r="B65" s="82"/>
      <c r="C65" s="95"/>
      <c r="D65" s="95"/>
      <c r="E65" s="82"/>
      <c r="F65" s="82"/>
      <c r="G65" s="82"/>
      <c r="I65" s="82"/>
      <c r="J65" s="82"/>
      <c r="K65" s="82"/>
      <c r="N65" s="82" t="str">
        <f t="shared" si="23"/>
        <v/>
      </c>
      <c r="O65" s="82" t="str">
        <f t="shared" si="24"/>
        <v/>
      </c>
      <c r="P65" s="82" t="str">
        <f t="shared" si="25"/>
        <v/>
      </c>
      <c r="Q65" s="82" t="str">
        <f t="shared" si="26"/>
        <v/>
      </c>
      <c r="R65" s="82" t="str">
        <f t="shared" si="27"/>
        <v/>
      </c>
      <c r="S65" s="82" t="str">
        <f t="shared" si="28"/>
        <v/>
      </c>
      <c r="T65" s="82" t="str">
        <f t="shared" si="29"/>
        <v/>
      </c>
      <c r="U65" s="82" t="str">
        <f t="shared" si="47"/>
        <v/>
      </c>
      <c r="V65" s="82" t="str">
        <f t="shared" si="31"/>
        <v/>
      </c>
      <c r="W65" s="82" t="str">
        <f t="shared" si="32"/>
        <v/>
      </c>
      <c r="X65" s="82" t="str">
        <f t="shared" si="33"/>
        <v/>
      </c>
      <c r="Y65" s="82" t="str">
        <f t="shared" si="34"/>
        <v/>
      </c>
      <c r="Z65" s="82" t="str">
        <f t="shared" si="35"/>
        <v/>
      </c>
      <c r="AA65" s="82" t="str">
        <f t="shared" si="36"/>
        <v/>
      </c>
      <c r="AB65" s="82" t="str">
        <f t="shared" si="48"/>
        <v/>
      </c>
      <c r="AC65" s="82" t="str">
        <f t="shared" si="49"/>
        <v/>
      </c>
      <c r="AD65" s="85" t="str">
        <f t="shared" si="39"/>
        <v/>
      </c>
      <c r="AE65" s="82" t="str">
        <f t="shared" si="40"/>
        <v/>
      </c>
      <c r="AF65" s="83" t="str">
        <f t="shared" si="41"/>
        <v/>
      </c>
      <c r="AG65" s="83" t="str">
        <f t="shared" si="42"/>
        <v/>
      </c>
      <c r="AH65" s="82" t="str">
        <f t="shared" si="43"/>
        <v/>
      </c>
      <c r="AI65" s="82" t="str">
        <f t="shared" si="50"/>
        <v/>
      </c>
      <c r="AJ65" s="82" t="str">
        <f t="shared" si="51"/>
        <v/>
      </c>
      <c r="AK65" s="82" t="str">
        <f t="shared" si="52"/>
        <v/>
      </c>
      <c r="AL65" s="82" t="str">
        <f>IF(ISBLANK(AR103)=TRUE,"",ROWS($AS$3:AS103))</f>
        <v/>
      </c>
      <c r="AM65" s="82" t="str">
        <f>IF('Portfolio 3'!$A$2=Y103,AV103,"")</f>
        <v/>
      </c>
      <c r="AN65" s="82" t="str">
        <f>IF(Y103='Portfolio 3'!$A$104,AV103,"")</f>
        <v/>
      </c>
      <c r="AO65" s="82" t="str">
        <f>IFERROR(SMALL($AN$3:$AN$101,ROWS($AS$3:AS103)),"")</f>
        <v/>
      </c>
      <c r="AP65" s="82" t="str">
        <f>IFERROR(SMALL($AM$3:$AM$101,ROWS($AS$3:AT103)),"")</f>
        <v/>
      </c>
    </row>
    <row r="66" spans="1:42">
      <c r="A66" s="82"/>
      <c r="B66" s="82"/>
      <c r="C66" s="95"/>
      <c r="D66" s="95"/>
      <c r="E66" s="82"/>
      <c r="F66" s="82"/>
      <c r="G66" s="82"/>
      <c r="I66" s="82"/>
      <c r="J66" s="82"/>
      <c r="K66" s="82"/>
      <c r="N66" s="82" t="str">
        <f t="shared" si="23"/>
        <v/>
      </c>
      <c r="O66" s="82" t="str">
        <f t="shared" si="24"/>
        <v/>
      </c>
      <c r="P66" s="82" t="str">
        <f t="shared" si="25"/>
        <v/>
      </c>
      <c r="Q66" s="82" t="str">
        <f t="shared" si="26"/>
        <v/>
      </c>
      <c r="R66" s="82" t="str">
        <f t="shared" si="27"/>
        <v/>
      </c>
      <c r="S66" s="82" t="str">
        <f t="shared" si="28"/>
        <v/>
      </c>
      <c r="T66" s="82" t="str">
        <f t="shared" si="29"/>
        <v/>
      </c>
      <c r="U66" s="82" t="str">
        <f t="shared" si="47"/>
        <v/>
      </c>
      <c r="V66" s="82" t="str">
        <f t="shared" si="31"/>
        <v/>
      </c>
      <c r="W66" s="82" t="str">
        <f t="shared" si="32"/>
        <v/>
      </c>
      <c r="X66" s="82" t="str">
        <f t="shared" si="33"/>
        <v/>
      </c>
      <c r="Y66" s="82" t="str">
        <f t="shared" si="34"/>
        <v/>
      </c>
      <c r="Z66" s="82" t="str">
        <f t="shared" si="35"/>
        <v/>
      </c>
      <c r="AA66" s="82" t="str">
        <f t="shared" si="36"/>
        <v/>
      </c>
      <c r="AB66" s="82" t="str">
        <f t="shared" si="48"/>
        <v/>
      </c>
      <c r="AC66" s="82" t="str">
        <f t="shared" si="49"/>
        <v/>
      </c>
      <c r="AD66" s="85" t="str">
        <f t="shared" si="39"/>
        <v/>
      </c>
      <c r="AE66" s="82" t="str">
        <f t="shared" si="40"/>
        <v/>
      </c>
      <c r="AF66" s="83" t="str">
        <f t="shared" si="41"/>
        <v/>
      </c>
      <c r="AG66" s="83" t="str">
        <f t="shared" si="42"/>
        <v/>
      </c>
      <c r="AH66" s="82" t="str">
        <f t="shared" si="43"/>
        <v/>
      </c>
      <c r="AI66" s="82" t="str">
        <f t="shared" si="50"/>
        <v/>
      </c>
      <c r="AJ66" s="82" t="str">
        <f t="shared" si="51"/>
        <v/>
      </c>
      <c r="AK66" s="82" t="str">
        <f t="shared" si="52"/>
        <v/>
      </c>
      <c r="AL66" s="82" t="str">
        <f>IF(ISBLANK(AR104)=TRUE,"",ROWS($AS$3:AS104))</f>
        <v/>
      </c>
      <c r="AM66" s="82" t="str">
        <f>IF('Portfolio 3'!$A$2=Y104,AV104,"")</f>
        <v/>
      </c>
      <c r="AN66" s="82" t="str">
        <f>IF(Y104='Portfolio 3'!$A$104,AV104,"")</f>
        <v/>
      </c>
      <c r="AO66" s="82" t="str">
        <f>IFERROR(SMALL($AN$3:$AN$101,ROWS($AS$3:AS104)),"")</f>
        <v/>
      </c>
      <c r="AP66" s="82" t="str">
        <f>IFERROR(SMALL($AM$3:$AM$101,ROWS($AS$3:AT104)),"")</f>
        <v/>
      </c>
    </row>
    <row r="67" spans="1:42">
      <c r="A67" s="82"/>
      <c r="B67" s="82"/>
      <c r="C67" s="95"/>
      <c r="D67" s="82"/>
      <c r="E67" s="82"/>
      <c r="F67" s="82"/>
      <c r="G67" s="82"/>
      <c r="I67" s="82"/>
      <c r="J67" s="82"/>
      <c r="K67" s="82"/>
      <c r="N67" s="82" t="str">
        <f t="shared" si="23"/>
        <v/>
      </c>
      <c r="O67" s="82" t="str">
        <f t="shared" ref="O67:O101" si="53">IF(ISBLANK(F67)=TRUE,"",F67)</f>
        <v/>
      </c>
      <c r="P67" s="82" t="str">
        <f t="shared" ref="P67:P101" si="54">SUBSTITUTE(E67," ","")</f>
        <v/>
      </c>
      <c r="Q67" s="82" t="str">
        <f t="shared" ref="Q67:Q101" si="55">SUBSTITUTE(SUBSTITUTE(SUBSTITUTE(SUBSTITUTE(SUBSTITUTE(SUBSTITUTE(SUBSTITUTE(SUBSTITUTE(SUBSTITUTE(SUBSTITUTE(C67," ",""),"บริษัท",""),"จำกัด",""),"(HeadOffice)",""),"Limited",""),"Co.,Ltd.",""),"PublicCompany",""),"สำนักงานใหญ่",""),"มหาชน",""),"()","")</f>
        <v/>
      </c>
      <c r="R67" s="82" t="str">
        <f t="shared" ref="R67:R101" si="56">IF(ISNUMBER(FIND(R$2,$D67)),MID($N67,(FIND(R$2,$D67))+5,FIND(" ",$N67,(FIND(R$2,$D67)))-(FIND(R$2,$D67)+5)),"")</f>
        <v/>
      </c>
      <c r="S67" s="82" t="str">
        <f t="shared" ref="S67:S101" si="57">IFERROR(MID($N67,FIND(" ",$N67,FIND(S$2,$N67)),FIND(" ",$N67,FIND(" ",$N67,FIND(S$2,$N67))+1)-(FIND(" ",$N67,FIND(S$2,$N67))))*1,"")</f>
        <v/>
      </c>
      <c r="T67" s="82" t="str">
        <f t="shared" ref="T67:T101" si="58">IFERROR(MID($N67,FIND(" ",$N67,FIND(T$2,$N67)),(FIND(" ",$N67,FIND(" ",$N67,FIND(T$2,$N67))+1)-FIND(" ",$N67,FIND(T$2,$N67)))),"")</f>
        <v/>
      </c>
      <c r="U67" s="82" t="str">
        <f t="shared" si="47"/>
        <v/>
      </c>
      <c r="V67" s="82" t="str">
        <f t="shared" ref="V67:V101" si="59">IF(ISNUMBER(FIND($V$2,$N67))=TRUE,MID($N67,FIND(V$2,$N67)+1+(FIND(" ",$N67,FIND(V$2,$N67))-FIND(V$2,$N67)),(FIND(" ",$N67,FIND(" ",$N67,FIND(V$2,$N67))+1)-FIND(" ",$N67,FIND(V$2,$N67)))-1),"")</f>
        <v/>
      </c>
      <c r="W67" s="82" t="str">
        <f t="shared" ref="W67:W101" si="60">IF(ISNUMBER(FIND(W$2,$N67))=TRUE,IFERROR(MID($N67,FIND(W$2,$N67)+3,(FIND(" ",$N67,FIND(W$2,$N67))-FIND(W$2,$N67))-3),""),"")</f>
        <v/>
      </c>
      <c r="X67" s="82" t="str">
        <f t="shared" ref="X67:X101" si="61">IFERROR(MID($N67,FIND(X$2,$N67)+3,(FIND(" ",$N67,FIND(X$2,$N67))-FIND(X$2,$N67))-3),"")</f>
        <v/>
      </c>
      <c r="Y67" s="82" t="str">
        <f t="shared" ref="Y67:Y101" si="62">IF(ISNUMBER(FIND($Y$2,$N67))=TRUE,IFERROR(MID($N67,FIND(Y$2,$N67)+4,(FIND(" ",$N67,FIND(Y$2,$N67))-FIND(Y$2,$N67))-4),""),"")</f>
        <v/>
      </c>
      <c r="Z67" s="82" t="str">
        <f t="shared" ref="Z67:Z101" si="63">IFERROR(MID($N67,FIND(Z$2,$N67)+3,(FIND(" ",$N67,FIND(" ",$N67,FIND(Z$2,$N67))+1))-FIND(" ",$N67,FIND(Z$2,$N67))),"")</f>
        <v/>
      </c>
      <c r="AA67" s="82" t="str">
        <f t="shared" ref="AA67:AA101" si="64">IF(ISNUMBER(FIND($AA$2,$N67))=TRUE,IFERROR(MID($N67,FIND(AA$2,$N67)+3,(FIND(" ",$N67,FIND(AA$2,$N67))-FIND(AA$2,$N67))-3),""),"")</f>
        <v/>
      </c>
      <c r="AB67" s="82" t="str">
        <f t="shared" si="48"/>
        <v/>
      </c>
      <c r="AC67" s="82" t="str">
        <f t="shared" si="49"/>
        <v/>
      </c>
      <c r="AD67" s="85" t="str">
        <f t="shared" ref="AD67:AD101" si="65">IF(ISBLANK(H67)=TRUE,"",DATE(YEAR(H67)+543,MONTH(H67),DAY(H67)))</f>
        <v/>
      </c>
      <c r="AE67" s="82" t="str">
        <f t="shared" ref="AE67:AE101" si="66">IF(ISBLANK(J67)=TRUE,"",J67*100)</f>
        <v/>
      </c>
      <c r="AF67" s="83" t="str">
        <f t="shared" ref="AF67:AF101" si="67">IF(ISBLANK(I67)=TRUE,"",I67)</f>
        <v/>
      </c>
      <c r="AG67" s="83" t="str">
        <f t="shared" ref="AG67:AG101" si="68">IF(ISBLANK(K67)=TRUE,"",K67)</f>
        <v/>
      </c>
      <c r="AH67" s="82" t="str">
        <f t="shared" ref="AH67:AH101" si="69">IF(ISBLANK(G67)=TRUE,"",G67)</f>
        <v/>
      </c>
      <c r="AI67" s="82" t="str">
        <f t="shared" si="50"/>
        <v/>
      </c>
      <c r="AJ67" s="82" t="str">
        <f t="shared" si="51"/>
        <v/>
      </c>
      <c r="AK67" s="82" t="str">
        <f t="shared" si="52"/>
        <v/>
      </c>
      <c r="AL67" s="82" t="str">
        <f>IF(ISBLANK(AR105)=TRUE,"",ROWS($AS$3:AS105))</f>
        <v/>
      </c>
      <c r="AM67" s="82" t="str">
        <f>IF('Portfolio 3'!$A$2=Y105,AV105,"")</f>
        <v/>
      </c>
      <c r="AN67" s="82" t="str">
        <f>IF(Y105='Portfolio 3'!$A$104,AV105,"")</f>
        <v/>
      </c>
      <c r="AO67" s="82" t="str">
        <f>IFERROR(SMALL($AN$3:$AN$101,ROWS($AS$3:AS105)),"")</f>
        <v/>
      </c>
      <c r="AP67" s="82" t="str">
        <f>IFERROR(SMALL($AM$3:$AM$101,ROWS($AS$3:AT105)),"")</f>
        <v/>
      </c>
    </row>
    <row r="68" spans="1:42">
      <c r="A68" s="82"/>
      <c r="B68" s="82"/>
      <c r="C68" s="82"/>
      <c r="D68" s="82"/>
      <c r="E68" s="82"/>
      <c r="F68" s="82"/>
      <c r="G68" s="82"/>
      <c r="I68" s="82"/>
      <c r="J68" s="82"/>
      <c r="K68" s="82"/>
      <c r="N68" s="82" t="str">
        <f t="shared" ref="N68:N101" si="70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68,"ซ.","ซอย"),"หมู่ที่","หมู่"),"ซอย ","ซอย"),"ถ.","ถนน"),"ต.","ตำบล"),"อ.","อำเภอ"),"No.",""),"No. ",""),"หมู่บ้าน","แหล่ง"),"Soi  ","Soi "),"Moo..","Moo"),"Moo.","Moo"),"Rd.","Road "),"Road","Road "),"Moo","Moo "),"Moo  ","Moo "),"จังหวัด",""),"ถนน.","ถนน"),"จ.",""),"เลขที่ ",""),"  "," "),"กทม.","กรุงเทพ"),"ซอย ","ซอย+"),"ชั้นที่","ชั้น"),"หมู่","หมู่ "),"หมู่  ","หมู่ "),"ตำบล","แขวง"),"อำเภอ","เขต")</f>
        <v/>
      </c>
      <c r="O68" s="82" t="str">
        <f t="shared" si="53"/>
        <v/>
      </c>
      <c r="P68" s="82" t="str">
        <f t="shared" si="54"/>
        <v/>
      </c>
      <c r="Q68" s="82" t="str">
        <f t="shared" si="55"/>
        <v/>
      </c>
      <c r="R68" s="82" t="str">
        <f t="shared" si="56"/>
        <v/>
      </c>
      <c r="S68" s="82" t="str">
        <f t="shared" si="57"/>
        <v/>
      </c>
      <c r="T68" s="82" t="str">
        <f t="shared" si="58"/>
        <v/>
      </c>
      <c r="U68" s="82" t="str">
        <f t="shared" si="47"/>
        <v/>
      </c>
      <c r="V68" s="82" t="str">
        <f t="shared" si="59"/>
        <v/>
      </c>
      <c r="W68" s="82" t="str">
        <f t="shared" si="60"/>
        <v/>
      </c>
      <c r="X68" s="82" t="str">
        <f t="shared" si="61"/>
        <v/>
      </c>
      <c r="Y68" s="82" t="str">
        <f t="shared" si="62"/>
        <v/>
      </c>
      <c r="Z68" s="82" t="str">
        <f t="shared" si="63"/>
        <v/>
      </c>
      <c r="AA68" s="82" t="str">
        <f t="shared" si="64"/>
        <v/>
      </c>
      <c r="AB68" s="82" t="str">
        <f t="shared" si="48"/>
        <v/>
      </c>
      <c r="AC68" s="82" t="str">
        <f t="shared" si="49"/>
        <v/>
      </c>
      <c r="AD68" s="85" t="str">
        <f t="shared" si="65"/>
        <v/>
      </c>
      <c r="AE68" s="82" t="str">
        <f t="shared" si="66"/>
        <v/>
      </c>
      <c r="AF68" s="83" t="str">
        <f t="shared" si="67"/>
        <v/>
      </c>
      <c r="AG68" s="83" t="str">
        <f t="shared" si="68"/>
        <v/>
      </c>
      <c r="AH68" s="82" t="str">
        <f t="shared" si="69"/>
        <v/>
      </c>
      <c r="AI68" s="82" t="str">
        <f t="shared" si="50"/>
        <v/>
      </c>
      <c r="AJ68" s="82" t="str">
        <f t="shared" si="51"/>
        <v/>
      </c>
      <c r="AK68" s="82" t="str">
        <f t="shared" si="52"/>
        <v/>
      </c>
      <c r="AL68" s="82" t="str">
        <f>IF(ISBLANK(AR106)=TRUE,"",ROWS($AS$3:AS106))</f>
        <v/>
      </c>
      <c r="AM68" s="82" t="str">
        <f>IF('Portfolio 3'!$A$2=Y106,AV106,"")</f>
        <v/>
      </c>
      <c r="AN68" s="82" t="str">
        <f>IF(Y106='Portfolio 3'!$A$104,AV106,"")</f>
        <v/>
      </c>
      <c r="AO68" s="82" t="str">
        <f>IFERROR(SMALL($AN$3:$AN$101,ROWS($AS$3:AS106)),"")</f>
        <v/>
      </c>
      <c r="AP68" s="82" t="str">
        <f>IFERROR(SMALL($AM$3:$AM$101,ROWS($AS$3:AT106)),"")</f>
        <v/>
      </c>
    </row>
    <row r="69" spans="1:42">
      <c r="A69" s="82"/>
      <c r="B69" s="82"/>
      <c r="C69" s="82"/>
      <c r="D69" s="82"/>
      <c r="E69" s="82"/>
      <c r="F69" s="82"/>
      <c r="G69" s="82"/>
      <c r="I69" s="82"/>
      <c r="J69" s="82"/>
      <c r="K69" s="82"/>
      <c r="N69" s="82" t="str">
        <f t="shared" si="70"/>
        <v/>
      </c>
      <c r="O69" s="82" t="str">
        <f t="shared" si="53"/>
        <v/>
      </c>
      <c r="P69" s="82" t="str">
        <f t="shared" si="54"/>
        <v/>
      </c>
      <c r="Q69" s="82" t="str">
        <f t="shared" si="55"/>
        <v/>
      </c>
      <c r="R69" s="82" t="str">
        <f t="shared" si="56"/>
        <v/>
      </c>
      <c r="S69" s="82" t="str">
        <f t="shared" si="57"/>
        <v/>
      </c>
      <c r="T69" s="82" t="str">
        <f t="shared" si="58"/>
        <v/>
      </c>
      <c r="U69" s="82" t="str">
        <f t="shared" si="47"/>
        <v/>
      </c>
      <c r="V69" s="82" t="str">
        <f t="shared" si="59"/>
        <v/>
      </c>
      <c r="W69" s="82" t="str">
        <f t="shared" si="60"/>
        <v/>
      </c>
      <c r="X69" s="82" t="str">
        <f t="shared" si="61"/>
        <v/>
      </c>
      <c r="Y69" s="82" t="str">
        <f t="shared" si="62"/>
        <v/>
      </c>
      <c r="Z69" s="82" t="str">
        <f t="shared" si="63"/>
        <v/>
      </c>
      <c r="AA69" s="82" t="str">
        <f t="shared" si="64"/>
        <v/>
      </c>
      <c r="AB69" s="82" t="str">
        <f t="shared" si="48"/>
        <v/>
      </c>
      <c r="AC69" s="82" t="str">
        <f t="shared" si="49"/>
        <v/>
      </c>
      <c r="AD69" s="85" t="str">
        <f t="shared" si="65"/>
        <v/>
      </c>
      <c r="AE69" s="82" t="str">
        <f t="shared" si="66"/>
        <v/>
      </c>
      <c r="AF69" s="83" t="str">
        <f t="shared" si="67"/>
        <v/>
      </c>
      <c r="AG69" s="83" t="str">
        <f t="shared" si="68"/>
        <v/>
      </c>
      <c r="AH69" s="82" t="str">
        <f t="shared" si="69"/>
        <v/>
      </c>
      <c r="AI69" s="82" t="str">
        <f t="shared" si="50"/>
        <v/>
      </c>
      <c r="AJ69" s="82" t="str">
        <f t="shared" si="51"/>
        <v/>
      </c>
      <c r="AK69" s="82" t="str">
        <f t="shared" si="52"/>
        <v/>
      </c>
      <c r="AL69" s="82" t="str">
        <f>IF(ISBLANK(AR107)=TRUE,"",ROWS($AS$3:AS107))</f>
        <v/>
      </c>
      <c r="AM69" s="82" t="str">
        <f>IF('Portfolio 3'!$A$2=Y107,AV107,"")</f>
        <v/>
      </c>
      <c r="AN69" s="82" t="str">
        <f>IF(Y107='Portfolio 3'!$A$104,AV107,"")</f>
        <v/>
      </c>
      <c r="AO69" s="82" t="str">
        <f>IFERROR(SMALL($AN$3:$AN$101,ROWS($AS$3:AS107)),"")</f>
        <v/>
      </c>
      <c r="AP69" s="82" t="str">
        <f>IFERROR(SMALL($AM$3:$AM$101,ROWS($AS$3:AT107)),"")</f>
        <v/>
      </c>
    </row>
    <row r="70" spans="1:42">
      <c r="A70" s="82"/>
      <c r="B70" s="82"/>
      <c r="C70" s="82"/>
      <c r="D70" s="82"/>
      <c r="E70" s="82"/>
      <c r="F70" s="82"/>
      <c r="G70" s="82"/>
      <c r="I70" s="82"/>
      <c r="J70" s="82"/>
      <c r="K70" s="82"/>
      <c r="N70" s="82" t="str">
        <f t="shared" si="70"/>
        <v/>
      </c>
      <c r="O70" s="82" t="str">
        <f t="shared" si="53"/>
        <v/>
      </c>
      <c r="P70" s="82" t="str">
        <f t="shared" si="54"/>
        <v/>
      </c>
      <c r="Q70" s="82" t="str">
        <f t="shared" si="55"/>
        <v/>
      </c>
      <c r="R70" s="82" t="str">
        <f t="shared" si="56"/>
        <v/>
      </c>
      <c r="S70" s="82" t="str">
        <f t="shared" si="57"/>
        <v/>
      </c>
      <c r="T70" s="82" t="str">
        <f t="shared" si="58"/>
        <v/>
      </c>
      <c r="U70" s="82" t="str">
        <f t="shared" si="47"/>
        <v/>
      </c>
      <c r="V70" s="82" t="str">
        <f t="shared" si="59"/>
        <v/>
      </c>
      <c r="W70" s="82" t="str">
        <f t="shared" si="60"/>
        <v/>
      </c>
      <c r="X70" s="82" t="str">
        <f t="shared" si="61"/>
        <v/>
      </c>
      <c r="Y70" s="82" t="str">
        <f t="shared" si="62"/>
        <v/>
      </c>
      <c r="Z70" s="82" t="str">
        <f t="shared" si="63"/>
        <v/>
      </c>
      <c r="AA70" s="82" t="str">
        <f t="shared" si="64"/>
        <v/>
      </c>
      <c r="AB70" s="82" t="str">
        <f t="shared" si="48"/>
        <v/>
      </c>
      <c r="AC70" s="82" t="str">
        <f t="shared" si="49"/>
        <v/>
      </c>
      <c r="AD70" s="85" t="str">
        <f t="shared" si="65"/>
        <v/>
      </c>
      <c r="AE70" s="82" t="str">
        <f t="shared" si="66"/>
        <v/>
      </c>
      <c r="AF70" s="83" t="str">
        <f t="shared" si="67"/>
        <v/>
      </c>
      <c r="AG70" s="83" t="str">
        <f t="shared" si="68"/>
        <v/>
      </c>
      <c r="AH70" s="82" t="str">
        <f t="shared" si="69"/>
        <v/>
      </c>
      <c r="AI70" s="82" t="str">
        <f t="shared" si="50"/>
        <v/>
      </c>
      <c r="AJ70" s="82" t="str">
        <f t="shared" si="51"/>
        <v/>
      </c>
      <c r="AK70" s="82" t="str">
        <f t="shared" si="52"/>
        <v/>
      </c>
      <c r="AL70" s="82" t="str">
        <f>IF(ISBLANK(AR108)=TRUE,"",ROWS($AS$3:AS108))</f>
        <v/>
      </c>
      <c r="AM70" s="82" t="str">
        <f>IF('Portfolio 3'!$A$2=Y108,AV108,"")</f>
        <v/>
      </c>
      <c r="AN70" s="82" t="str">
        <f>IF(Y108='Portfolio 3'!$A$104,AV108,"")</f>
        <v/>
      </c>
      <c r="AO70" s="82" t="str">
        <f>IFERROR(SMALL($AN$3:$AN$101,ROWS($AS$3:AS108)),"")</f>
        <v/>
      </c>
      <c r="AP70" s="82" t="str">
        <f>IFERROR(SMALL($AM$3:$AM$101,ROWS($AS$3:AT108)),"")</f>
        <v/>
      </c>
    </row>
    <row r="71" spans="1:42">
      <c r="A71" s="82"/>
      <c r="B71" s="82"/>
      <c r="C71" s="82"/>
      <c r="D71" s="82"/>
      <c r="E71" s="82"/>
      <c r="F71" s="82"/>
      <c r="G71" s="82"/>
      <c r="I71" s="82"/>
      <c r="J71" s="82"/>
      <c r="K71" s="82"/>
      <c r="N71" s="82" t="str">
        <f t="shared" si="70"/>
        <v/>
      </c>
      <c r="O71" s="82" t="str">
        <f t="shared" si="53"/>
        <v/>
      </c>
      <c r="P71" s="82" t="str">
        <f t="shared" si="54"/>
        <v/>
      </c>
      <c r="Q71" s="82" t="str">
        <f t="shared" si="55"/>
        <v/>
      </c>
      <c r="R71" s="82" t="str">
        <f t="shared" si="56"/>
        <v/>
      </c>
      <c r="S71" s="82" t="str">
        <f t="shared" si="57"/>
        <v/>
      </c>
      <c r="T71" s="82" t="str">
        <f t="shared" si="58"/>
        <v/>
      </c>
      <c r="U71" s="82" t="str">
        <f t="shared" si="47"/>
        <v/>
      </c>
      <c r="V71" s="82" t="str">
        <f t="shared" si="59"/>
        <v/>
      </c>
      <c r="W71" s="82" t="str">
        <f t="shared" si="60"/>
        <v/>
      </c>
      <c r="X71" s="82" t="str">
        <f t="shared" si="61"/>
        <v/>
      </c>
      <c r="Y71" s="82" t="str">
        <f t="shared" si="62"/>
        <v/>
      </c>
      <c r="Z71" s="82" t="str">
        <f t="shared" si="63"/>
        <v/>
      </c>
      <c r="AA71" s="82" t="str">
        <f t="shared" si="64"/>
        <v/>
      </c>
      <c r="AB71" s="82" t="str">
        <f t="shared" si="48"/>
        <v/>
      </c>
      <c r="AC71" s="82" t="str">
        <f t="shared" si="49"/>
        <v/>
      </c>
      <c r="AD71" s="85" t="str">
        <f t="shared" si="65"/>
        <v/>
      </c>
      <c r="AE71" s="82" t="str">
        <f t="shared" si="66"/>
        <v/>
      </c>
      <c r="AF71" s="83" t="str">
        <f t="shared" si="67"/>
        <v/>
      </c>
      <c r="AG71" s="83" t="str">
        <f t="shared" si="68"/>
        <v/>
      </c>
      <c r="AH71" s="82" t="str">
        <f t="shared" si="69"/>
        <v/>
      </c>
      <c r="AI71" s="82" t="str">
        <f t="shared" si="50"/>
        <v/>
      </c>
      <c r="AJ71" s="82" t="str">
        <f t="shared" si="51"/>
        <v/>
      </c>
      <c r="AK71" s="82" t="str">
        <f t="shared" si="52"/>
        <v/>
      </c>
      <c r="AL71" s="82" t="str">
        <f>IF(ISBLANK(AR109)=TRUE,"",ROWS($AS$3:AS109))</f>
        <v/>
      </c>
      <c r="AM71" s="82" t="str">
        <f>IF('Portfolio 3'!$A$2=Y109,AV109,"")</f>
        <v/>
      </c>
      <c r="AN71" s="82" t="str">
        <f>IF(Y109='Portfolio 3'!$A$104,AV109,"")</f>
        <v/>
      </c>
      <c r="AO71" s="82" t="str">
        <f>IFERROR(SMALL($AN$3:$AN$101,ROWS($AS$3:AS109)),"")</f>
        <v/>
      </c>
      <c r="AP71" s="82" t="str">
        <f>IFERROR(SMALL($AM$3:$AM$101,ROWS($AS$3:AT109)),"")</f>
        <v/>
      </c>
    </row>
    <row r="72" spans="1:42">
      <c r="A72" s="82"/>
      <c r="B72" s="82"/>
      <c r="C72" s="82"/>
      <c r="D72" s="82"/>
      <c r="E72" s="82"/>
      <c r="F72" s="82"/>
      <c r="G72" s="82"/>
      <c r="I72" s="82"/>
      <c r="J72" s="82"/>
      <c r="K72" s="82"/>
      <c r="N72" s="82" t="str">
        <f t="shared" si="70"/>
        <v/>
      </c>
      <c r="O72" s="82" t="str">
        <f t="shared" si="53"/>
        <v/>
      </c>
      <c r="P72" s="82" t="str">
        <f t="shared" si="54"/>
        <v/>
      </c>
      <c r="Q72" s="82" t="str">
        <f t="shared" si="55"/>
        <v/>
      </c>
      <c r="R72" s="82" t="str">
        <f t="shared" si="56"/>
        <v/>
      </c>
      <c r="S72" s="82" t="str">
        <f t="shared" si="57"/>
        <v/>
      </c>
      <c r="T72" s="82" t="str">
        <f t="shared" si="58"/>
        <v/>
      </c>
      <c r="U72" s="82" t="str">
        <f t="shared" si="47"/>
        <v/>
      </c>
      <c r="V72" s="82" t="str">
        <f t="shared" si="59"/>
        <v/>
      </c>
      <c r="W72" s="82" t="str">
        <f t="shared" si="60"/>
        <v/>
      </c>
      <c r="X72" s="82" t="str">
        <f t="shared" si="61"/>
        <v/>
      </c>
      <c r="Y72" s="82" t="str">
        <f t="shared" si="62"/>
        <v/>
      </c>
      <c r="Z72" s="82" t="str">
        <f t="shared" si="63"/>
        <v/>
      </c>
      <c r="AA72" s="82" t="str">
        <f t="shared" si="64"/>
        <v/>
      </c>
      <c r="AB72" s="82" t="str">
        <f t="shared" si="48"/>
        <v/>
      </c>
      <c r="AC72" s="82" t="str">
        <f t="shared" si="49"/>
        <v/>
      </c>
      <c r="AD72" s="85" t="str">
        <f t="shared" si="65"/>
        <v/>
      </c>
      <c r="AE72" s="82" t="str">
        <f t="shared" si="66"/>
        <v/>
      </c>
      <c r="AF72" s="83" t="str">
        <f t="shared" si="67"/>
        <v/>
      </c>
      <c r="AG72" s="83" t="str">
        <f t="shared" si="68"/>
        <v/>
      </c>
      <c r="AH72" s="82" t="str">
        <f t="shared" si="69"/>
        <v/>
      </c>
      <c r="AI72" s="82" t="str">
        <f t="shared" si="50"/>
        <v/>
      </c>
      <c r="AJ72" s="82" t="str">
        <f t="shared" si="51"/>
        <v/>
      </c>
      <c r="AK72" s="82" t="str">
        <f t="shared" si="52"/>
        <v/>
      </c>
      <c r="AL72" s="82" t="str">
        <f>IF(ISBLANK(AR110)=TRUE,"",ROWS($AS$3:AS110))</f>
        <v/>
      </c>
      <c r="AM72" s="82" t="str">
        <f>IF('Portfolio 3'!$A$2=Y110,AV110,"")</f>
        <v/>
      </c>
      <c r="AN72" s="82" t="str">
        <f>IF(Y110='Portfolio 3'!$A$104,AV110,"")</f>
        <v/>
      </c>
      <c r="AO72" s="82" t="str">
        <f>IFERROR(SMALL($AN$3:$AN$101,ROWS($AS$3:AS110)),"")</f>
        <v/>
      </c>
      <c r="AP72" s="82" t="str">
        <f>IFERROR(SMALL($AM$3:$AM$101,ROWS($AS$3:AT110)),"")</f>
        <v/>
      </c>
    </row>
    <row r="73" spans="1:42">
      <c r="A73" s="82"/>
      <c r="B73" s="82"/>
      <c r="C73" s="82"/>
      <c r="D73" s="82"/>
      <c r="E73" s="82"/>
      <c r="F73" s="82"/>
      <c r="G73" s="82"/>
      <c r="I73" s="82"/>
      <c r="J73" s="82"/>
      <c r="K73" s="82"/>
      <c r="N73" s="82" t="str">
        <f t="shared" si="70"/>
        <v/>
      </c>
      <c r="O73" s="82" t="str">
        <f t="shared" si="53"/>
        <v/>
      </c>
      <c r="P73" s="82" t="str">
        <f t="shared" si="54"/>
        <v/>
      </c>
      <c r="Q73" s="82" t="str">
        <f t="shared" si="55"/>
        <v/>
      </c>
      <c r="R73" s="82" t="str">
        <f t="shared" si="56"/>
        <v/>
      </c>
      <c r="S73" s="82" t="str">
        <f t="shared" si="57"/>
        <v/>
      </c>
      <c r="T73" s="82" t="str">
        <f t="shared" si="58"/>
        <v/>
      </c>
      <c r="U73" s="82" t="str">
        <f t="shared" si="47"/>
        <v/>
      </c>
      <c r="V73" s="82" t="str">
        <f t="shared" si="59"/>
        <v/>
      </c>
      <c r="W73" s="82" t="str">
        <f t="shared" si="60"/>
        <v/>
      </c>
      <c r="X73" s="82" t="str">
        <f t="shared" si="61"/>
        <v/>
      </c>
      <c r="Y73" s="82" t="str">
        <f t="shared" si="62"/>
        <v/>
      </c>
      <c r="Z73" s="82" t="str">
        <f t="shared" si="63"/>
        <v/>
      </c>
      <c r="AA73" s="82" t="str">
        <f t="shared" si="64"/>
        <v/>
      </c>
      <c r="AB73" s="82" t="str">
        <f t="shared" si="48"/>
        <v/>
      </c>
      <c r="AC73" s="82" t="str">
        <f t="shared" si="49"/>
        <v/>
      </c>
      <c r="AD73" s="85" t="str">
        <f t="shared" si="65"/>
        <v/>
      </c>
      <c r="AE73" s="82" t="str">
        <f t="shared" si="66"/>
        <v/>
      </c>
      <c r="AF73" s="83" t="str">
        <f t="shared" si="67"/>
        <v/>
      </c>
      <c r="AG73" s="83" t="str">
        <f t="shared" si="68"/>
        <v/>
      </c>
      <c r="AH73" s="82" t="str">
        <f t="shared" si="69"/>
        <v/>
      </c>
      <c r="AI73" s="82" t="str">
        <f t="shared" si="50"/>
        <v/>
      </c>
      <c r="AJ73" s="82" t="str">
        <f t="shared" si="51"/>
        <v/>
      </c>
      <c r="AK73" s="82" t="str">
        <f t="shared" si="52"/>
        <v/>
      </c>
      <c r="AL73" s="82" t="str">
        <f>IF(ISBLANK(AR111)=TRUE,"",ROWS($AS$3:AS111))</f>
        <v/>
      </c>
      <c r="AM73" s="82" t="str">
        <f>IF('Portfolio 3'!$A$2=Y111,AV111,"")</f>
        <v/>
      </c>
      <c r="AN73" s="82" t="str">
        <f>IF(Y111='Portfolio 3'!$A$104,AV111,"")</f>
        <v/>
      </c>
      <c r="AO73" s="82" t="str">
        <f>IFERROR(SMALL($AN$3:$AN$101,ROWS($AS$3:AS111)),"")</f>
        <v/>
      </c>
      <c r="AP73" s="82" t="str">
        <f>IFERROR(SMALL($AM$3:$AM$101,ROWS($AS$3:AT111)),"")</f>
        <v/>
      </c>
    </row>
    <row r="74" spans="1:42">
      <c r="A74" s="82"/>
      <c r="B74" s="82"/>
      <c r="C74" s="82"/>
      <c r="D74" s="82"/>
      <c r="E74" s="82"/>
      <c r="F74" s="82"/>
      <c r="G74" s="82"/>
      <c r="I74" s="82"/>
      <c r="J74" s="82"/>
      <c r="K74" s="82"/>
      <c r="N74" s="82" t="str">
        <f t="shared" si="70"/>
        <v/>
      </c>
      <c r="O74" s="82" t="str">
        <f t="shared" si="53"/>
        <v/>
      </c>
      <c r="P74" s="82" t="str">
        <f t="shared" si="54"/>
        <v/>
      </c>
      <c r="Q74" s="82" t="str">
        <f t="shared" si="55"/>
        <v/>
      </c>
      <c r="R74" s="82" t="str">
        <f t="shared" si="56"/>
        <v/>
      </c>
      <c r="S74" s="82" t="str">
        <f t="shared" si="57"/>
        <v/>
      </c>
      <c r="T74" s="82" t="str">
        <f t="shared" si="58"/>
        <v/>
      </c>
      <c r="U74" s="82" t="str">
        <f t="shared" si="47"/>
        <v/>
      </c>
      <c r="V74" s="82" t="str">
        <f t="shared" si="59"/>
        <v/>
      </c>
      <c r="W74" s="82" t="str">
        <f t="shared" si="60"/>
        <v/>
      </c>
      <c r="X74" s="82" t="str">
        <f t="shared" si="61"/>
        <v/>
      </c>
      <c r="Y74" s="82" t="str">
        <f t="shared" si="62"/>
        <v/>
      </c>
      <c r="Z74" s="82" t="str">
        <f t="shared" si="63"/>
        <v/>
      </c>
      <c r="AA74" s="82" t="str">
        <f t="shared" si="64"/>
        <v/>
      </c>
      <c r="AB74" s="82" t="str">
        <f t="shared" si="48"/>
        <v/>
      </c>
      <c r="AC74" s="82" t="str">
        <f t="shared" si="49"/>
        <v/>
      </c>
      <c r="AD74" s="85" t="str">
        <f t="shared" si="65"/>
        <v/>
      </c>
      <c r="AE74" s="82" t="str">
        <f t="shared" si="66"/>
        <v/>
      </c>
      <c r="AF74" s="83" t="str">
        <f t="shared" si="67"/>
        <v/>
      </c>
      <c r="AG74" s="83" t="str">
        <f t="shared" si="68"/>
        <v/>
      </c>
      <c r="AH74" s="82" t="str">
        <f t="shared" si="69"/>
        <v/>
      </c>
      <c r="AI74" s="82" t="str">
        <f t="shared" si="50"/>
        <v/>
      </c>
      <c r="AJ74" s="82" t="str">
        <f t="shared" si="51"/>
        <v/>
      </c>
      <c r="AK74" s="82" t="str">
        <f t="shared" si="52"/>
        <v/>
      </c>
      <c r="AL74" s="82" t="str">
        <f>IF(ISBLANK(AR112)=TRUE,"",ROWS($AS$3:AS112))</f>
        <v/>
      </c>
      <c r="AM74" s="82" t="str">
        <f>IF('Portfolio 3'!$A$2=Y112,AV112,"")</f>
        <v/>
      </c>
      <c r="AN74" s="82" t="str">
        <f>IF(Y112='Portfolio 3'!$A$104,AV112,"")</f>
        <v/>
      </c>
      <c r="AO74" s="82" t="str">
        <f>IFERROR(SMALL($AN$3:$AN$101,ROWS($AS$3:AS112)),"")</f>
        <v/>
      </c>
      <c r="AP74" s="82" t="str">
        <f>IFERROR(SMALL($AM$3:$AM$101,ROWS($AS$3:AT112)),"")</f>
        <v/>
      </c>
    </row>
    <row r="75" spans="1:42">
      <c r="A75" s="82"/>
      <c r="B75" s="82"/>
      <c r="C75" s="82"/>
      <c r="D75" s="82"/>
      <c r="E75" s="82"/>
      <c r="F75" s="82"/>
      <c r="G75" s="82"/>
      <c r="I75" s="82"/>
      <c r="J75" s="82"/>
      <c r="K75" s="82"/>
      <c r="N75" s="82" t="str">
        <f t="shared" si="70"/>
        <v/>
      </c>
      <c r="O75" s="82" t="str">
        <f t="shared" si="53"/>
        <v/>
      </c>
      <c r="P75" s="82" t="str">
        <f t="shared" si="54"/>
        <v/>
      </c>
      <c r="Q75" s="82" t="str">
        <f t="shared" si="55"/>
        <v/>
      </c>
      <c r="R75" s="82" t="str">
        <f t="shared" si="56"/>
        <v/>
      </c>
      <c r="S75" s="82" t="str">
        <f t="shared" si="57"/>
        <v/>
      </c>
      <c r="T75" s="82" t="str">
        <f t="shared" si="58"/>
        <v/>
      </c>
      <c r="U75" s="82" t="str">
        <f t="shared" si="47"/>
        <v/>
      </c>
      <c r="V75" s="82" t="str">
        <f t="shared" si="59"/>
        <v/>
      </c>
      <c r="W75" s="82" t="str">
        <f t="shared" si="60"/>
        <v/>
      </c>
      <c r="X75" s="82" t="str">
        <f t="shared" si="61"/>
        <v/>
      </c>
      <c r="Y75" s="82" t="str">
        <f t="shared" si="62"/>
        <v/>
      </c>
      <c r="Z75" s="82" t="str">
        <f t="shared" si="63"/>
        <v/>
      </c>
      <c r="AA75" s="82" t="str">
        <f t="shared" si="64"/>
        <v/>
      </c>
      <c r="AB75" s="82" t="str">
        <f t="shared" si="48"/>
        <v/>
      </c>
      <c r="AC75" s="82" t="str">
        <f t="shared" si="49"/>
        <v/>
      </c>
      <c r="AD75" s="85" t="str">
        <f t="shared" si="65"/>
        <v/>
      </c>
      <c r="AE75" s="82" t="str">
        <f t="shared" si="66"/>
        <v/>
      </c>
      <c r="AF75" s="83" t="str">
        <f t="shared" si="67"/>
        <v/>
      </c>
      <c r="AG75" s="83" t="str">
        <f t="shared" si="68"/>
        <v/>
      </c>
      <c r="AH75" s="82" t="str">
        <f t="shared" si="69"/>
        <v/>
      </c>
      <c r="AI75" s="82" t="str">
        <f t="shared" si="50"/>
        <v/>
      </c>
      <c r="AJ75" s="82" t="str">
        <f t="shared" si="51"/>
        <v/>
      </c>
      <c r="AK75" s="82" t="str">
        <f t="shared" si="52"/>
        <v/>
      </c>
      <c r="AL75" s="82" t="str">
        <f>IF(ISBLANK(AR113)=TRUE,"",ROWS($AS$3:AS113))</f>
        <v/>
      </c>
      <c r="AM75" s="82" t="str">
        <f>IF('Portfolio 3'!$A$2=Y113,AV113,"")</f>
        <v/>
      </c>
      <c r="AN75" s="82" t="str">
        <f>IF(Y113='Portfolio 3'!$A$104,AV113,"")</f>
        <v/>
      </c>
      <c r="AO75" s="82" t="str">
        <f>IFERROR(SMALL($AN$3:$AN$101,ROWS($AS$3:AS113)),"")</f>
        <v/>
      </c>
      <c r="AP75" s="82" t="str">
        <f>IFERROR(SMALL($AM$3:$AM$101,ROWS($AS$3:AT113)),"")</f>
        <v/>
      </c>
    </row>
    <row r="76" spans="1:42">
      <c r="A76" s="82"/>
      <c r="B76" s="82"/>
      <c r="C76" s="82"/>
      <c r="D76" s="82"/>
      <c r="E76" s="82"/>
      <c r="F76" s="82"/>
      <c r="G76" s="82"/>
      <c r="I76" s="82"/>
      <c r="J76" s="82"/>
      <c r="K76" s="82"/>
      <c r="N76" s="82" t="str">
        <f t="shared" si="70"/>
        <v/>
      </c>
      <c r="O76" s="82" t="str">
        <f t="shared" si="53"/>
        <v/>
      </c>
      <c r="P76" s="82" t="str">
        <f t="shared" si="54"/>
        <v/>
      </c>
      <c r="Q76" s="82" t="str">
        <f t="shared" si="55"/>
        <v/>
      </c>
      <c r="R76" s="82" t="str">
        <f t="shared" si="56"/>
        <v/>
      </c>
      <c r="S76" s="82" t="str">
        <f t="shared" si="57"/>
        <v/>
      </c>
      <c r="T76" s="82" t="str">
        <f t="shared" si="58"/>
        <v/>
      </c>
      <c r="U76" s="82" t="str">
        <f t="shared" si="47"/>
        <v/>
      </c>
      <c r="V76" s="82" t="str">
        <f t="shared" si="59"/>
        <v/>
      </c>
      <c r="W76" s="82" t="str">
        <f t="shared" si="60"/>
        <v/>
      </c>
      <c r="X76" s="82" t="str">
        <f t="shared" si="61"/>
        <v/>
      </c>
      <c r="Y76" s="82" t="str">
        <f t="shared" si="62"/>
        <v/>
      </c>
      <c r="Z76" s="82" t="str">
        <f t="shared" si="63"/>
        <v/>
      </c>
      <c r="AA76" s="82" t="str">
        <f t="shared" si="64"/>
        <v/>
      </c>
      <c r="AB76" s="82" t="str">
        <f t="shared" si="48"/>
        <v/>
      </c>
      <c r="AC76" s="82" t="str">
        <f t="shared" si="49"/>
        <v/>
      </c>
      <c r="AD76" s="85" t="str">
        <f t="shared" si="65"/>
        <v/>
      </c>
      <c r="AE76" s="82" t="str">
        <f t="shared" si="66"/>
        <v/>
      </c>
      <c r="AF76" s="83" t="str">
        <f t="shared" si="67"/>
        <v/>
      </c>
      <c r="AG76" s="83" t="str">
        <f t="shared" si="68"/>
        <v/>
      </c>
      <c r="AH76" s="82" t="str">
        <f t="shared" si="69"/>
        <v/>
      </c>
      <c r="AI76" s="82" t="str">
        <f t="shared" si="50"/>
        <v/>
      </c>
      <c r="AJ76" s="82" t="str">
        <f t="shared" si="51"/>
        <v/>
      </c>
      <c r="AK76" s="82" t="str">
        <f t="shared" si="52"/>
        <v/>
      </c>
      <c r="AL76" s="82" t="str">
        <f>IF(ISBLANK(AR114)=TRUE,"",ROWS($AS$3:AS114))</f>
        <v/>
      </c>
      <c r="AM76" s="82" t="str">
        <f>IF('Portfolio 3'!$A$2=Y114,AV114,"")</f>
        <v/>
      </c>
      <c r="AN76" s="82" t="str">
        <f>IF(Y114='Portfolio 3'!$A$104,AV114,"")</f>
        <v/>
      </c>
      <c r="AO76" s="82" t="str">
        <f>IFERROR(SMALL($AN$3:$AN$101,ROWS($AS$3:AS114)),"")</f>
        <v/>
      </c>
      <c r="AP76" s="82" t="str">
        <f>IFERROR(SMALL($AM$3:$AM$101,ROWS($AS$3:AT114)),"")</f>
        <v/>
      </c>
    </row>
    <row r="77" spans="1:42">
      <c r="A77" s="82"/>
      <c r="B77" s="82"/>
      <c r="C77" s="82"/>
      <c r="D77" s="82"/>
      <c r="E77" s="82"/>
      <c r="F77" s="82"/>
      <c r="G77" s="82"/>
      <c r="I77" s="82"/>
      <c r="J77" s="82"/>
      <c r="K77" s="82"/>
      <c r="N77" s="82" t="str">
        <f t="shared" si="70"/>
        <v/>
      </c>
      <c r="O77" s="82" t="str">
        <f t="shared" si="53"/>
        <v/>
      </c>
      <c r="P77" s="82" t="str">
        <f t="shared" si="54"/>
        <v/>
      </c>
      <c r="Q77" s="82" t="str">
        <f t="shared" si="55"/>
        <v/>
      </c>
      <c r="R77" s="82" t="str">
        <f t="shared" si="56"/>
        <v/>
      </c>
      <c r="S77" s="82" t="str">
        <f t="shared" si="57"/>
        <v/>
      </c>
      <c r="T77" s="82" t="str">
        <f t="shared" si="58"/>
        <v/>
      </c>
      <c r="U77" s="82" t="str">
        <f t="shared" si="47"/>
        <v/>
      </c>
      <c r="V77" s="82" t="str">
        <f t="shared" si="59"/>
        <v/>
      </c>
      <c r="W77" s="82" t="str">
        <f t="shared" si="60"/>
        <v/>
      </c>
      <c r="X77" s="82" t="str">
        <f t="shared" si="61"/>
        <v/>
      </c>
      <c r="Y77" s="82" t="str">
        <f t="shared" si="62"/>
        <v/>
      </c>
      <c r="Z77" s="82" t="str">
        <f t="shared" si="63"/>
        <v/>
      </c>
      <c r="AA77" s="82" t="str">
        <f t="shared" si="64"/>
        <v/>
      </c>
      <c r="AB77" s="82" t="str">
        <f t="shared" si="48"/>
        <v/>
      </c>
      <c r="AC77" s="82" t="str">
        <f t="shared" si="49"/>
        <v/>
      </c>
      <c r="AD77" s="85" t="str">
        <f t="shared" si="65"/>
        <v/>
      </c>
      <c r="AE77" s="82" t="str">
        <f t="shared" si="66"/>
        <v/>
      </c>
      <c r="AF77" s="83" t="str">
        <f t="shared" si="67"/>
        <v/>
      </c>
      <c r="AG77" s="83" t="str">
        <f t="shared" si="68"/>
        <v/>
      </c>
      <c r="AH77" s="82" t="str">
        <f t="shared" si="69"/>
        <v/>
      </c>
      <c r="AI77" s="82" t="str">
        <f t="shared" si="50"/>
        <v/>
      </c>
      <c r="AJ77" s="82" t="str">
        <f t="shared" si="51"/>
        <v/>
      </c>
      <c r="AK77" s="82" t="str">
        <f t="shared" si="52"/>
        <v/>
      </c>
      <c r="AL77" s="82" t="str">
        <f>IF(ISBLANK(AR115)=TRUE,"",ROWS($AS$3:AS115))</f>
        <v/>
      </c>
      <c r="AM77" s="82" t="str">
        <f>IF('Portfolio 3'!$A$2=Y115,AV115,"")</f>
        <v/>
      </c>
      <c r="AN77" s="82" t="str">
        <f>IF(Y115='Portfolio 3'!$A$104,AV115,"")</f>
        <v/>
      </c>
      <c r="AO77" s="82" t="str">
        <f>IFERROR(SMALL($AN$3:$AN$101,ROWS($AS$3:AS115)),"")</f>
        <v/>
      </c>
      <c r="AP77" s="82" t="str">
        <f>IFERROR(SMALL($AM$3:$AM$101,ROWS($AS$3:AT115)),"")</f>
        <v/>
      </c>
    </row>
    <row r="78" spans="1:42">
      <c r="A78" s="82"/>
      <c r="B78" s="82"/>
      <c r="C78" s="82"/>
      <c r="D78" s="82"/>
      <c r="E78" s="82"/>
      <c r="F78" s="82"/>
      <c r="G78" s="82"/>
      <c r="I78" s="82"/>
      <c r="J78" s="82"/>
      <c r="K78" s="82"/>
      <c r="N78" s="82" t="str">
        <f t="shared" si="70"/>
        <v/>
      </c>
      <c r="O78" s="82" t="str">
        <f t="shared" si="53"/>
        <v/>
      </c>
      <c r="P78" s="82" t="str">
        <f t="shared" si="54"/>
        <v/>
      </c>
      <c r="Q78" s="82" t="str">
        <f t="shared" si="55"/>
        <v/>
      </c>
      <c r="R78" s="82" t="str">
        <f t="shared" si="56"/>
        <v/>
      </c>
      <c r="S78" s="82" t="str">
        <f t="shared" si="57"/>
        <v/>
      </c>
      <c r="T78" s="82" t="str">
        <f t="shared" si="58"/>
        <v/>
      </c>
      <c r="U78" s="82" t="str">
        <f t="shared" si="47"/>
        <v/>
      </c>
      <c r="V78" s="82" t="str">
        <f t="shared" si="59"/>
        <v/>
      </c>
      <c r="W78" s="82" t="str">
        <f t="shared" si="60"/>
        <v/>
      </c>
      <c r="X78" s="82" t="str">
        <f t="shared" si="61"/>
        <v/>
      </c>
      <c r="Y78" s="82" t="str">
        <f t="shared" si="62"/>
        <v/>
      </c>
      <c r="Z78" s="82" t="str">
        <f t="shared" si="63"/>
        <v/>
      </c>
      <c r="AA78" s="82" t="str">
        <f t="shared" si="64"/>
        <v/>
      </c>
      <c r="AB78" s="82" t="str">
        <f t="shared" si="48"/>
        <v/>
      </c>
      <c r="AC78" s="82" t="str">
        <f t="shared" si="49"/>
        <v/>
      </c>
      <c r="AD78" s="85" t="str">
        <f t="shared" si="65"/>
        <v/>
      </c>
      <c r="AE78" s="82" t="str">
        <f t="shared" si="66"/>
        <v/>
      </c>
      <c r="AF78" s="83" t="str">
        <f t="shared" si="67"/>
        <v/>
      </c>
      <c r="AG78" s="83" t="str">
        <f t="shared" si="68"/>
        <v/>
      </c>
      <c r="AH78" s="82" t="str">
        <f t="shared" si="69"/>
        <v/>
      </c>
      <c r="AI78" s="82" t="str">
        <f t="shared" si="50"/>
        <v/>
      </c>
      <c r="AJ78" s="82" t="str">
        <f t="shared" si="51"/>
        <v/>
      </c>
      <c r="AK78" s="82" t="str">
        <f t="shared" si="52"/>
        <v/>
      </c>
      <c r="AL78" s="82" t="str">
        <f>IF(ISBLANK(AR116)=TRUE,"",ROWS($AS$3:AS116))</f>
        <v/>
      </c>
      <c r="AM78" s="82" t="str">
        <f>IF('Portfolio 3'!$A$2=Y116,AV116,"")</f>
        <v/>
      </c>
      <c r="AN78" s="82" t="str">
        <f>IF(Y116='Portfolio 3'!$A$104,AV116,"")</f>
        <v/>
      </c>
      <c r="AO78" s="82" t="str">
        <f>IFERROR(SMALL($AN$3:$AN$101,ROWS($AS$3:AS116)),"")</f>
        <v/>
      </c>
      <c r="AP78" s="82" t="str">
        <f>IFERROR(SMALL($AM$3:$AM$101,ROWS($AS$3:AT116)),"")</f>
        <v/>
      </c>
    </row>
    <row r="79" spans="1:42">
      <c r="A79" s="82"/>
      <c r="B79" s="82"/>
      <c r="C79" s="82"/>
      <c r="D79" s="82"/>
      <c r="E79" s="82"/>
      <c r="F79" s="82"/>
      <c r="G79" s="82"/>
      <c r="I79" s="82"/>
      <c r="J79" s="82"/>
      <c r="K79" s="82"/>
      <c r="N79" s="82" t="str">
        <f t="shared" si="70"/>
        <v/>
      </c>
      <c r="O79" s="82" t="str">
        <f t="shared" si="53"/>
        <v/>
      </c>
      <c r="P79" s="82" t="str">
        <f t="shared" si="54"/>
        <v/>
      </c>
      <c r="Q79" s="82" t="str">
        <f t="shared" si="55"/>
        <v/>
      </c>
      <c r="R79" s="82" t="str">
        <f t="shared" si="56"/>
        <v/>
      </c>
      <c r="S79" s="82" t="str">
        <f t="shared" si="57"/>
        <v/>
      </c>
      <c r="T79" s="82" t="str">
        <f t="shared" si="58"/>
        <v/>
      </c>
      <c r="U79" s="82" t="str">
        <f t="shared" si="47"/>
        <v/>
      </c>
      <c r="V79" s="82" t="str">
        <f t="shared" si="59"/>
        <v/>
      </c>
      <c r="W79" s="82" t="str">
        <f t="shared" si="60"/>
        <v/>
      </c>
      <c r="X79" s="82" t="str">
        <f t="shared" si="61"/>
        <v/>
      </c>
      <c r="Y79" s="82" t="str">
        <f t="shared" si="62"/>
        <v/>
      </c>
      <c r="Z79" s="82" t="str">
        <f t="shared" si="63"/>
        <v/>
      </c>
      <c r="AA79" s="82" t="str">
        <f t="shared" si="64"/>
        <v/>
      </c>
      <c r="AB79" s="82" t="str">
        <f t="shared" si="48"/>
        <v/>
      </c>
      <c r="AC79" s="82" t="str">
        <f t="shared" si="49"/>
        <v/>
      </c>
      <c r="AD79" s="85" t="str">
        <f t="shared" si="65"/>
        <v/>
      </c>
      <c r="AE79" s="82" t="str">
        <f t="shared" si="66"/>
        <v/>
      </c>
      <c r="AF79" s="83" t="str">
        <f t="shared" si="67"/>
        <v/>
      </c>
      <c r="AG79" s="83" t="str">
        <f t="shared" si="68"/>
        <v/>
      </c>
      <c r="AH79" s="82" t="str">
        <f t="shared" si="69"/>
        <v/>
      </c>
      <c r="AI79" s="82" t="str">
        <f t="shared" si="50"/>
        <v/>
      </c>
      <c r="AJ79" s="82" t="str">
        <f t="shared" si="51"/>
        <v/>
      </c>
      <c r="AK79" s="82" t="str">
        <f t="shared" si="52"/>
        <v/>
      </c>
      <c r="AL79" s="82" t="str">
        <f>IF(ISBLANK(AR117)=TRUE,"",ROWS($AS$3:AS117))</f>
        <v/>
      </c>
      <c r="AM79" s="82" t="str">
        <f>IF('Portfolio 3'!$A$2=Y117,AV117,"")</f>
        <v/>
      </c>
      <c r="AN79" s="82" t="str">
        <f>IF(Y117='Portfolio 3'!$A$104,AV117,"")</f>
        <v/>
      </c>
      <c r="AO79" s="82" t="str">
        <f>IFERROR(SMALL($AN$3:$AN$101,ROWS($AS$3:AS117)),"")</f>
        <v/>
      </c>
      <c r="AP79" s="82" t="str">
        <f>IFERROR(SMALL($AM$3:$AM$101,ROWS($AS$3:AT117)),"")</f>
        <v/>
      </c>
    </row>
    <row r="80" spans="1:42">
      <c r="A80" s="82"/>
      <c r="B80" s="82"/>
      <c r="C80" s="82"/>
      <c r="D80" s="82"/>
      <c r="E80" s="82"/>
      <c r="F80" s="82"/>
      <c r="G80" s="82"/>
      <c r="I80" s="82"/>
      <c r="J80" s="82"/>
      <c r="K80" s="82"/>
      <c r="N80" s="82" t="str">
        <f t="shared" si="70"/>
        <v/>
      </c>
      <c r="O80" s="82" t="str">
        <f t="shared" si="53"/>
        <v/>
      </c>
      <c r="P80" s="82" t="str">
        <f t="shared" si="54"/>
        <v/>
      </c>
      <c r="Q80" s="82" t="str">
        <f t="shared" si="55"/>
        <v/>
      </c>
      <c r="R80" s="82" t="str">
        <f t="shared" si="56"/>
        <v/>
      </c>
      <c r="S80" s="82" t="str">
        <f t="shared" si="57"/>
        <v/>
      </c>
      <c r="T80" s="82" t="str">
        <f t="shared" si="58"/>
        <v/>
      </c>
      <c r="U80" s="82" t="str">
        <f t="shared" si="47"/>
        <v/>
      </c>
      <c r="V80" s="82" t="str">
        <f t="shared" si="59"/>
        <v/>
      </c>
      <c r="W80" s="82" t="str">
        <f t="shared" si="60"/>
        <v/>
      </c>
      <c r="X80" s="82" t="str">
        <f t="shared" si="61"/>
        <v/>
      </c>
      <c r="Y80" s="82" t="str">
        <f t="shared" si="62"/>
        <v/>
      </c>
      <c r="Z80" s="82" t="str">
        <f t="shared" si="63"/>
        <v/>
      </c>
      <c r="AA80" s="82" t="str">
        <f t="shared" si="64"/>
        <v/>
      </c>
      <c r="AB80" s="82" t="str">
        <f t="shared" si="48"/>
        <v/>
      </c>
      <c r="AC80" s="82" t="str">
        <f t="shared" si="49"/>
        <v/>
      </c>
      <c r="AD80" s="85" t="str">
        <f t="shared" si="65"/>
        <v/>
      </c>
      <c r="AE80" s="82" t="str">
        <f t="shared" si="66"/>
        <v/>
      </c>
      <c r="AF80" s="83" t="str">
        <f t="shared" si="67"/>
        <v/>
      </c>
      <c r="AG80" s="83" t="str">
        <f t="shared" si="68"/>
        <v/>
      </c>
      <c r="AH80" s="82" t="str">
        <f t="shared" si="69"/>
        <v/>
      </c>
      <c r="AI80" s="82" t="str">
        <f t="shared" si="50"/>
        <v/>
      </c>
      <c r="AJ80" s="82" t="str">
        <f t="shared" si="51"/>
        <v/>
      </c>
      <c r="AK80" s="82" t="str">
        <f t="shared" si="52"/>
        <v/>
      </c>
      <c r="AL80" s="82" t="str">
        <f>IF(ISBLANK(AR118)=TRUE,"",ROWS($AS$3:AS118))</f>
        <v/>
      </c>
      <c r="AM80" s="82" t="str">
        <f>IF('Portfolio 3'!$A$2=Y118,AV118,"")</f>
        <v/>
      </c>
      <c r="AN80" s="82" t="str">
        <f>IF(Y118='Portfolio 3'!$A$104,AV118,"")</f>
        <v/>
      </c>
      <c r="AO80" s="82" t="str">
        <f>IFERROR(SMALL($AN$3:$AN$101,ROWS($AS$3:AS118)),"")</f>
        <v/>
      </c>
      <c r="AP80" s="82" t="str">
        <f>IFERROR(SMALL($AM$3:$AM$101,ROWS($AS$3:AT118)),"")</f>
        <v/>
      </c>
    </row>
    <row r="81" spans="1:42">
      <c r="A81" s="82"/>
      <c r="B81" s="82"/>
      <c r="C81" s="82"/>
      <c r="D81" s="82"/>
      <c r="E81" s="82"/>
      <c r="F81" s="82"/>
      <c r="G81" s="82"/>
      <c r="I81" s="82"/>
      <c r="J81" s="82"/>
      <c r="K81" s="82"/>
      <c r="N81" s="82" t="str">
        <f t="shared" si="70"/>
        <v/>
      </c>
      <c r="O81" s="82" t="str">
        <f t="shared" si="53"/>
        <v/>
      </c>
      <c r="P81" s="82" t="str">
        <f t="shared" si="54"/>
        <v/>
      </c>
      <c r="Q81" s="82" t="str">
        <f t="shared" si="55"/>
        <v/>
      </c>
      <c r="R81" s="82" t="str">
        <f t="shared" si="56"/>
        <v/>
      </c>
      <c r="S81" s="82" t="str">
        <f t="shared" si="57"/>
        <v/>
      </c>
      <c r="T81" s="82" t="str">
        <f t="shared" si="58"/>
        <v/>
      </c>
      <c r="U81" s="82" t="str">
        <f t="shared" si="47"/>
        <v/>
      </c>
      <c r="V81" s="82" t="str">
        <f t="shared" si="59"/>
        <v/>
      </c>
      <c r="W81" s="82" t="str">
        <f t="shared" si="60"/>
        <v/>
      </c>
      <c r="X81" s="82" t="str">
        <f t="shared" si="61"/>
        <v/>
      </c>
      <c r="Y81" s="82" t="str">
        <f t="shared" si="62"/>
        <v/>
      </c>
      <c r="Z81" s="82" t="str">
        <f t="shared" si="63"/>
        <v/>
      </c>
      <c r="AA81" s="82" t="str">
        <f t="shared" si="64"/>
        <v/>
      </c>
      <c r="AB81" s="82" t="str">
        <f t="shared" si="48"/>
        <v/>
      </c>
      <c r="AC81" s="82" t="str">
        <f t="shared" si="49"/>
        <v/>
      </c>
      <c r="AD81" s="85" t="str">
        <f t="shared" si="65"/>
        <v/>
      </c>
      <c r="AE81" s="82" t="str">
        <f t="shared" si="66"/>
        <v/>
      </c>
      <c r="AF81" s="83" t="str">
        <f t="shared" si="67"/>
        <v/>
      </c>
      <c r="AG81" s="83" t="str">
        <f t="shared" si="68"/>
        <v/>
      </c>
      <c r="AH81" s="82" t="str">
        <f t="shared" si="69"/>
        <v/>
      </c>
      <c r="AI81" s="82" t="str">
        <f t="shared" si="50"/>
        <v/>
      </c>
      <c r="AJ81" s="82" t="str">
        <f t="shared" si="51"/>
        <v/>
      </c>
      <c r="AK81" s="82" t="str">
        <f t="shared" si="52"/>
        <v/>
      </c>
      <c r="AL81" s="82" t="str">
        <f>IF(ISBLANK(AR119)=TRUE,"",ROWS($AS$3:AS119))</f>
        <v/>
      </c>
      <c r="AM81" s="82" t="str">
        <f>IF('Portfolio 3'!$A$2=Y119,AV119,"")</f>
        <v/>
      </c>
      <c r="AN81" s="82" t="str">
        <f>IF(Y119='Portfolio 3'!$A$104,AV119,"")</f>
        <v/>
      </c>
      <c r="AO81" s="82" t="str">
        <f>IFERROR(SMALL($AN$3:$AN$101,ROWS($AS$3:AS119)),"")</f>
        <v/>
      </c>
      <c r="AP81" s="82" t="str">
        <f>IFERROR(SMALL($AM$3:$AM$101,ROWS($AS$3:AT119)),"")</f>
        <v/>
      </c>
    </row>
    <row r="82" spans="1:42">
      <c r="A82" s="82"/>
      <c r="B82" s="82"/>
      <c r="C82" s="82"/>
      <c r="D82" s="82"/>
      <c r="E82" s="82"/>
      <c r="F82" s="82"/>
      <c r="G82" s="82"/>
      <c r="I82" s="82"/>
      <c r="J82" s="82"/>
      <c r="K82" s="82"/>
      <c r="N82" s="82" t="str">
        <f t="shared" si="70"/>
        <v/>
      </c>
      <c r="O82" s="82" t="str">
        <f t="shared" si="53"/>
        <v/>
      </c>
      <c r="P82" s="82" t="str">
        <f t="shared" si="54"/>
        <v/>
      </c>
      <c r="Q82" s="82" t="str">
        <f t="shared" si="55"/>
        <v/>
      </c>
      <c r="R82" s="82" t="str">
        <f t="shared" si="56"/>
        <v/>
      </c>
      <c r="S82" s="82" t="str">
        <f t="shared" si="57"/>
        <v/>
      </c>
      <c r="T82" s="82" t="str">
        <f t="shared" si="58"/>
        <v/>
      </c>
      <c r="U82" s="82" t="str">
        <f t="shared" si="47"/>
        <v/>
      </c>
      <c r="V82" s="82" t="str">
        <f t="shared" si="59"/>
        <v/>
      </c>
      <c r="W82" s="82" t="str">
        <f t="shared" si="60"/>
        <v/>
      </c>
      <c r="X82" s="82" t="str">
        <f t="shared" si="61"/>
        <v/>
      </c>
      <c r="Y82" s="82" t="str">
        <f t="shared" si="62"/>
        <v/>
      </c>
      <c r="Z82" s="82" t="str">
        <f t="shared" si="63"/>
        <v/>
      </c>
      <c r="AA82" s="82" t="str">
        <f t="shared" si="64"/>
        <v/>
      </c>
      <c r="AB82" s="82" t="str">
        <f t="shared" si="48"/>
        <v/>
      </c>
      <c r="AC82" s="82" t="str">
        <f t="shared" si="49"/>
        <v/>
      </c>
      <c r="AD82" s="85" t="str">
        <f t="shared" si="65"/>
        <v/>
      </c>
      <c r="AE82" s="82" t="str">
        <f t="shared" si="66"/>
        <v/>
      </c>
      <c r="AF82" s="83" t="str">
        <f t="shared" si="67"/>
        <v/>
      </c>
      <c r="AG82" s="83" t="str">
        <f t="shared" si="68"/>
        <v/>
      </c>
      <c r="AH82" s="82" t="str">
        <f t="shared" si="69"/>
        <v/>
      </c>
      <c r="AI82" s="82" t="str">
        <f t="shared" si="50"/>
        <v/>
      </c>
      <c r="AJ82" s="82" t="str">
        <f t="shared" si="51"/>
        <v/>
      </c>
      <c r="AK82" s="82" t="str">
        <f t="shared" si="52"/>
        <v/>
      </c>
      <c r="AL82" s="82" t="str">
        <f>IF(ISBLANK(AR120)=TRUE,"",ROWS($AS$3:AS120))</f>
        <v/>
      </c>
      <c r="AM82" s="82" t="str">
        <f>IF('Portfolio 3'!$A$2=Y120,AV120,"")</f>
        <v/>
      </c>
      <c r="AN82" s="82" t="str">
        <f>IF(Y120='Portfolio 3'!$A$104,AV120,"")</f>
        <v/>
      </c>
      <c r="AO82" s="82" t="str">
        <f>IFERROR(SMALL($AN$3:$AN$101,ROWS($AS$3:AS120)),"")</f>
        <v/>
      </c>
      <c r="AP82" s="82" t="str">
        <f>IFERROR(SMALL($AM$3:$AM$101,ROWS($AS$3:AT120)),"")</f>
        <v/>
      </c>
    </row>
    <row r="83" spans="1:42">
      <c r="A83" s="82"/>
      <c r="B83" s="82"/>
      <c r="C83" s="82"/>
      <c r="D83" s="82"/>
      <c r="E83" s="82"/>
      <c r="F83" s="82"/>
      <c r="G83" s="82"/>
      <c r="I83" s="82"/>
      <c r="J83" s="82"/>
      <c r="K83" s="82"/>
      <c r="N83" s="82" t="str">
        <f t="shared" si="70"/>
        <v/>
      </c>
      <c r="O83" s="82" t="str">
        <f t="shared" si="53"/>
        <v/>
      </c>
      <c r="P83" s="82" t="str">
        <f t="shared" si="54"/>
        <v/>
      </c>
      <c r="Q83" s="82" t="str">
        <f t="shared" si="55"/>
        <v/>
      </c>
      <c r="R83" s="82" t="str">
        <f t="shared" si="56"/>
        <v/>
      </c>
      <c r="S83" s="82" t="str">
        <f t="shared" si="57"/>
        <v/>
      </c>
      <c r="T83" s="82" t="str">
        <f t="shared" si="58"/>
        <v/>
      </c>
      <c r="U83" s="82" t="str">
        <f t="shared" si="47"/>
        <v/>
      </c>
      <c r="V83" s="82" t="str">
        <f t="shared" si="59"/>
        <v/>
      </c>
      <c r="W83" s="82" t="str">
        <f t="shared" si="60"/>
        <v/>
      </c>
      <c r="X83" s="82" t="str">
        <f t="shared" si="61"/>
        <v/>
      </c>
      <c r="Y83" s="82" t="str">
        <f t="shared" si="62"/>
        <v/>
      </c>
      <c r="Z83" s="82" t="str">
        <f t="shared" si="63"/>
        <v/>
      </c>
      <c r="AA83" s="82" t="str">
        <f t="shared" si="64"/>
        <v/>
      </c>
      <c r="AB83" s="82" t="str">
        <f t="shared" si="48"/>
        <v/>
      </c>
      <c r="AC83" s="82" t="str">
        <f t="shared" si="49"/>
        <v/>
      </c>
      <c r="AD83" s="85" t="str">
        <f t="shared" si="65"/>
        <v/>
      </c>
      <c r="AE83" s="82" t="str">
        <f t="shared" si="66"/>
        <v/>
      </c>
      <c r="AF83" s="83" t="str">
        <f t="shared" si="67"/>
        <v/>
      </c>
      <c r="AG83" s="83" t="str">
        <f t="shared" si="68"/>
        <v/>
      </c>
      <c r="AH83" s="82" t="str">
        <f t="shared" si="69"/>
        <v/>
      </c>
      <c r="AI83" s="82" t="str">
        <f t="shared" si="50"/>
        <v/>
      </c>
      <c r="AJ83" s="82" t="str">
        <f t="shared" si="51"/>
        <v/>
      </c>
      <c r="AK83" s="82" t="str">
        <f t="shared" si="52"/>
        <v/>
      </c>
      <c r="AL83" s="82" t="str">
        <f>IF(ISBLANK(AR121)=TRUE,"",ROWS($AS$3:AS121))</f>
        <v/>
      </c>
      <c r="AM83" s="82" t="str">
        <f>IF('Portfolio 3'!$A$2=Y121,AV121,"")</f>
        <v/>
      </c>
      <c r="AN83" s="82" t="str">
        <f>IF(Y121='Portfolio 3'!$A$104,AV121,"")</f>
        <v/>
      </c>
      <c r="AO83" s="82" t="str">
        <f>IFERROR(SMALL($AN$3:$AN$101,ROWS($AS$3:AS121)),"")</f>
        <v/>
      </c>
      <c r="AP83" s="82" t="str">
        <f>IFERROR(SMALL($AM$3:$AM$101,ROWS($AS$3:AT121)),"")</f>
        <v/>
      </c>
    </row>
    <row r="84" spans="1:42">
      <c r="A84" s="82"/>
      <c r="B84" s="82"/>
      <c r="C84" s="82"/>
      <c r="D84" s="82"/>
      <c r="E84" s="82"/>
      <c r="F84" s="82"/>
      <c r="G84" s="82"/>
      <c r="I84" s="82"/>
      <c r="J84" s="82"/>
      <c r="K84" s="82"/>
      <c r="N84" s="82" t="str">
        <f t="shared" si="70"/>
        <v/>
      </c>
      <c r="O84" s="82" t="str">
        <f t="shared" si="53"/>
        <v/>
      </c>
      <c r="P84" s="82" t="str">
        <f t="shared" si="54"/>
        <v/>
      </c>
      <c r="Q84" s="82" t="str">
        <f t="shared" si="55"/>
        <v/>
      </c>
      <c r="R84" s="82" t="str">
        <f t="shared" si="56"/>
        <v/>
      </c>
      <c r="S84" s="82" t="str">
        <f t="shared" si="57"/>
        <v/>
      </c>
      <c r="T84" s="82" t="str">
        <f t="shared" si="58"/>
        <v/>
      </c>
      <c r="U84" s="82" t="str">
        <f t="shared" si="47"/>
        <v/>
      </c>
      <c r="V84" s="82" t="str">
        <f t="shared" si="59"/>
        <v/>
      </c>
      <c r="W84" s="82" t="str">
        <f t="shared" si="60"/>
        <v/>
      </c>
      <c r="X84" s="82" t="str">
        <f t="shared" si="61"/>
        <v/>
      </c>
      <c r="Y84" s="82" t="str">
        <f t="shared" si="62"/>
        <v/>
      </c>
      <c r="Z84" s="82" t="str">
        <f t="shared" si="63"/>
        <v/>
      </c>
      <c r="AA84" s="82" t="str">
        <f t="shared" si="64"/>
        <v/>
      </c>
      <c r="AB84" s="82" t="str">
        <f t="shared" si="48"/>
        <v/>
      </c>
      <c r="AC84" s="82" t="str">
        <f t="shared" si="49"/>
        <v/>
      </c>
      <c r="AD84" s="85" t="str">
        <f t="shared" si="65"/>
        <v/>
      </c>
      <c r="AE84" s="82" t="str">
        <f t="shared" si="66"/>
        <v/>
      </c>
      <c r="AF84" s="83" t="str">
        <f t="shared" si="67"/>
        <v/>
      </c>
      <c r="AG84" s="83" t="str">
        <f t="shared" si="68"/>
        <v/>
      </c>
      <c r="AH84" s="82" t="str">
        <f t="shared" si="69"/>
        <v/>
      </c>
      <c r="AI84" s="82" t="str">
        <f t="shared" si="50"/>
        <v/>
      </c>
      <c r="AJ84" s="82" t="str">
        <f t="shared" si="51"/>
        <v/>
      </c>
      <c r="AK84" s="82" t="str">
        <f t="shared" si="52"/>
        <v/>
      </c>
      <c r="AL84" s="82" t="str">
        <f>IF(ISBLANK(AR122)=TRUE,"",ROWS($AS$3:AS122))</f>
        <v/>
      </c>
      <c r="AM84" s="82" t="str">
        <f>IF('Portfolio 3'!$A$2=Y122,AV122,"")</f>
        <v/>
      </c>
      <c r="AN84" s="82" t="str">
        <f>IF(Y122='Portfolio 3'!$A$104,AV122,"")</f>
        <v/>
      </c>
      <c r="AO84" s="82" t="str">
        <f>IFERROR(SMALL($AN$3:$AN$101,ROWS($AS$3:AS122)),"")</f>
        <v/>
      </c>
      <c r="AP84" s="82" t="str">
        <f>IFERROR(SMALL($AM$3:$AM$101,ROWS($AS$3:AT122)),"")</f>
        <v/>
      </c>
    </row>
    <row r="85" spans="1:42">
      <c r="A85" s="82"/>
      <c r="B85" s="82"/>
      <c r="C85" s="82"/>
      <c r="D85" s="82"/>
      <c r="E85" s="82"/>
      <c r="F85" s="82"/>
      <c r="G85" s="82"/>
      <c r="I85" s="82"/>
      <c r="J85" s="82"/>
      <c r="K85" s="82"/>
      <c r="N85" s="82" t="str">
        <f t="shared" si="70"/>
        <v/>
      </c>
      <c r="O85" s="82" t="str">
        <f t="shared" si="53"/>
        <v/>
      </c>
      <c r="P85" s="82" t="str">
        <f t="shared" si="54"/>
        <v/>
      </c>
      <c r="Q85" s="82" t="str">
        <f t="shared" si="55"/>
        <v/>
      </c>
      <c r="R85" s="82" t="str">
        <f t="shared" si="56"/>
        <v/>
      </c>
      <c r="S85" s="82" t="str">
        <f t="shared" si="57"/>
        <v/>
      </c>
      <c r="T85" s="82" t="str">
        <f t="shared" si="58"/>
        <v/>
      </c>
      <c r="U85" s="82" t="str">
        <f t="shared" si="47"/>
        <v/>
      </c>
      <c r="V85" s="82" t="str">
        <f t="shared" si="59"/>
        <v/>
      </c>
      <c r="W85" s="82" t="str">
        <f t="shared" si="60"/>
        <v/>
      </c>
      <c r="X85" s="82" t="str">
        <f t="shared" si="61"/>
        <v/>
      </c>
      <c r="Y85" s="82" t="str">
        <f t="shared" si="62"/>
        <v/>
      </c>
      <c r="Z85" s="82" t="str">
        <f t="shared" si="63"/>
        <v/>
      </c>
      <c r="AA85" s="82" t="str">
        <f t="shared" si="64"/>
        <v/>
      </c>
      <c r="AB85" s="82" t="str">
        <f t="shared" si="48"/>
        <v/>
      </c>
      <c r="AC85" s="82" t="str">
        <f t="shared" si="49"/>
        <v/>
      </c>
      <c r="AD85" s="85" t="str">
        <f t="shared" si="65"/>
        <v/>
      </c>
      <c r="AE85" s="82" t="str">
        <f t="shared" si="66"/>
        <v/>
      </c>
      <c r="AF85" s="83" t="str">
        <f t="shared" si="67"/>
        <v/>
      </c>
      <c r="AG85" s="83" t="str">
        <f t="shared" si="68"/>
        <v/>
      </c>
      <c r="AH85" s="82" t="str">
        <f t="shared" si="69"/>
        <v/>
      </c>
      <c r="AI85" s="82" t="str">
        <f t="shared" si="50"/>
        <v/>
      </c>
      <c r="AJ85" s="82" t="str">
        <f t="shared" si="51"/>
        <v/>
      </c>
      <c r="AK85" s="82" t="str">
        <f t="shared" si="52"/>
        <v/>
      </c>
      <c r="AL85" s="82" t="str">
        <f>IF(ISBLANK(AR123)=TRUE,"",ROWS($AS$3:AS123))</f>
        <v/>
      </c>
      <c r="AM85" s="82" t="str">
        <f>IF('Portfolio 3'!$A$2=Y123,AV123,"")</f>
        <v/>
      </c>
      <c r="AN85" s="82" t="str">
        <f>IF(Y123='Portfolio 3'!$A$104,AV123,"")</f>
        <v/>
      </c>
      <c r="AO85" s="82" t="str">
        <f>IFERROR(SMALL($AN$3:$AN$101,ROWS($AS$3:AS123)),"")</f>
        <v/>
      </c>
      <c r="AP85" s="82" t="str">
        <f>IFERROR(SMALL($AM$3:$AM$101,ROWS($AS$3:AT123)),"")</f>
        <v/>
      </c>
    </row>
    <row r="86" spans="1:42">
      <c r="A86" s="82"/>
      <c r="B86" s="82"/>
      <c r="C86" s="82"/>
      <c r="D86" s="82"/>
      <c r="E86" s="82"/>
      <c r="F86" s="82"/>
      <c r="G86" s="82"/>
      <c r="I86" s="82"/>
      <c r="J86" s="82"/>
      <c r="K86" s="82"/>
      <c r="N86" s="82" t="str">
        <f t="shared" si="70"/>
        <v/>
      </c>
      <c r="O86" s="82" t="str">
        <f t="shared" si="53"/>
        <v/>
      </c>
      <c r="P86" s="82" t="str">
        <f t="shared" si="54"/>
        <v/>
      </c>
      <c r="Q86" s="82" t="str">
        <f t="shared" si="55"/>
        <v/>
      </c>
      <c r="R86" s="82" t="str">
        <f t="shared" si="56"/>
        <v/>
      </c>
      <c r="S86" s="82" t="str">
        <f t="shared" si="57"/>
        <v/>
      </c>
      <c r="T86" s="82" t="str">
        <f t="shared" si="58"/>
        <v/>
      </c>
      <c r="U86" s="82" t="str">
        <f t="shared" si="47"/>
        <v/>
      </c>
      <c r="V86" s="82" t="str">
        <f t="shared" si="59"/>
        <v/>
      </c>
      <c r="W86" s="82" t="str">
        <f t="shared" si="60"/>
        <v/>
      </c>
      <c r="X86" s="82" t="str">
        <f t="shared" si="61"/>
        <v/>
      </c>
      <c r="Y86" s="82" t="str">
        <f t="shared" si="62"/>
        <v/>
      </c>
      <c r="Z86" s="82" t="str">
        <f t="shared" si="63"/>
        <v/>
      </c>
      <c r="AA86" s="82" t="str">
        <f t="shared" si="64"/>
        <v/>
      </c>
      <c r="AB86" s="82" t="str">
        <f t="shared" si="48"/>
        <v/>
      </c>
      <c r="AC86" s="82" t="str">
        <f t="shared" si="49"/>
        <v/>
      </c>
      <c r="AD86" s="85" t="str">
        <f t="shared" si="65"/>
        <v/>
      </c>
      <c r="AE86" s="82" t="str">
        <f t="shared" si="66"/>
        <v/>
      </c>
      <c r="AF86" s="83" t="str">
        <f t="shared" si="67"/>
        <v/>
      </c>
      <c r="AG86" s="83" t="str">
        <f t="shared" si="68"/>
        <v/>
      </c>
      <c r="AH86" s="82" t="str">
        <f t="shared" si="69"/>
        <v/>
      </c>
      <c r="AI86" s="82" t="str">
        <f t="shared" si="50"/>
        <v/>
      </c>
      <c r="AJ86" s="82" t="str">
        <f t="shared" si="51"/>
        <v/>
      </c>
      <c r="AK86" s="82" t="str">
        <f t="shared" si="52"/>
        <v/>
      </c>
      <c r="AL86" s="82" t="str">
        <f>IF(ISBLANK(AR124)=TRUE,"",ROWS($AS$3:AS124))</f>
        <v/>
      </c>
      <c r="AM86" s="82" t="str">
        <f>IF('Portfolio 3'!$A$2=Y124,AV124,"")</f>
        <v/>
      </c>
      <c r="AN86" s="82" t="str">
        <f>IF(Y124='Portfolio 3'!$A$104,AV124,"")</f>
        <v/>
      </c>
      <c r="AO86" s="82" t="str">
        <f>IFERROR(SMALL($AN$3:$AN$101,ROWS($AS$3:AS124)),"")</f>
        <v/>
      </c>
      <c r="AP86" s="82" t="str">
        <f>IFERROR(SMALL($AM$3:$AM$101,ROWS($AS$3:AT124)),"")</f>
        <v/>
      </c>
    </row>
    <row r="87" spans="1:42">
      <c r="A87" s="82"/>
      <c r="B87" s="82"/>
      <c r="C87" s="82"/>
      <c r="D87" s="82"/>
      <c r="E87" s="82"/>
      <c r="F87" s="82"/>
      <c r="G87" s="82"/>
      <c r="I87" s="82"/>
      <c r="J87" s="82"/>
      <c r="K87" s="82"/>
      <c r="N87" s="82" t="str">
        <f t="shared" si="70"/>
        <v/>
      </c>
      <c r="O87" s="82" t="str">
        <f t="shared" si="53"/>
        <v/>
      </c>
      <c r="P87" s="82" t="str">
        <f t="shared" si="54"/>
        <v/>
      </c>
      <c r="Q87" s="82" t="str">
        <f t="shared" si="55"/>
        <v/>
      </c>
      <c r="R87" s="82" t="str">
        <f t="shared" si="56"/>
        <v/>
      </c>
      <c r="S87" s="82" t="str">
        <f t="shared" si="57"/>
        <v/>
      </c>
      <c r="T87" s="82" t="str">
        <f t="shared" si="58"/>
        <v/>
      </c>
      <c r="U87" s="82" t="str">
        <f t="shared" si="47"/>
        <v/>
      </c>
      <c r="V87" s="82" t="str">
        <f t="shared" si="59"/>
        <v/>
      </c>
      <c r="W87" s="82" t="str">
        <f t="shared" si="60"/>
        <v/>
      </c>
      <c r="X87" s="82" t="str">
        <f t="shared" si="61"/>
        <v/>
      </c>
      <c r="Y87" s="82" t="str">
        <f t="shared" si="62"/>
        <v/>
      </c>
      <c r="Z87" s="82" t="str">
        <f t="shared" si="63"/>
        <v/>
      </c>
      <c r="AA87" s="82" t="str">
        <f t="shared" si="64"/>
        <v/>
      </c>
      <c r="AB87" s="82" t="str">
        <f t="shared" si="48"/>
        <v/>
      </c>
      <c r="AC87" s="82" t="str">
        <f t="shared" si="49"/>
        <v/>
      </c>
      <c r="AD87" s="85" t="str">
        <f t="shared" si="65"/>
        <v/>
      </c>
      <c r="AE87" s="82" t="str">
        <f t="shared" si="66"/>
        <v/>
      </c>
      <c r="AF87" s="83" t="str">
        <f t="shared" si="67"/>
        <v/>
      </c>
      <c r="AG87" s="83" t="str">
        <f t="shared" si="68"/>
        <v/>
      </c>
      <c r="AH87" s="82" t="str">
        <f t="shared" si="69"/>
        <v/>
      </c>
      <c r="AI87" s="82" t="str">
        <f t="shared" si="50"/>
        <v/>
      </c>
      <c r="AJ87" s="82" t="str">
        <f t="shared" si="51"/>
        <v/>
      </c>
      <c r="AK87" s="82" t="str">
        <f t="shared" si="52"/>
        <v/>
      </c>
      <c r="AL87" s="82" t="str">
        <f>IF(ISBLANK(AR125)=TRUE,"",ROWS($AS$3:AS125))</f>
        <v/>
      </c>
      <c r="AM87" s="82" t="str">
        <f>IF('Portfolio 3'!$A$2=Y125,AV125,"")</f>
        <v/>
      </c>
      <c r="AN87" s="82" t="str">
        <f>IF(Y125='Portfolio 3'!$A$104,AV125,"")</f>
        <v/>
      </c>
      <c r="AO87" s="82" t="str">
        <f>IFERROR(SMALL($AN$3:$AN$101,ROWS($AS$3:AS125)),"")</f>
        <v/>
      </c>
      <c r="AP87" s="82" t="str">
        <f>IFERROR(SMALL($AM$3:$AM$101,ROWS($AS$3:AT125)),"")</f>
        <v/>
      </c>
    </row>
    <row r="88" spans="1:42">
      <c r="A88" s="82"/>
      <c r="B88" s="82"/>
      <c r="C88" s="82"/>
      <c r="D88" s="82"/>
      <c r="E88" s="82"/>
      <c r="F88" s="82"/>
      <c r="G88" s="82"/>
      <c r="I88" s="82"/>
      <c r="J88" s="82"/>
      <c r="K88" s="82"/>
      <c r="N88" s="82" t="str">
        <f t="shared" si="70"/>
        <v/>
      </c>
      <c r="O88" s="82" t="str">
        <f t="shared" si="53"/>
        <v/>
      </c>
      <c r="P88" s="82" t="str">
        <f t="shared" si="54"/>
        <v/>
      </c>
      <c r="Q88" s="82" t="str">
        <f t="shared" si="55"/>
        <v/>
      </c>
      <c r="R88" s="82" t="str">
        <f t="shared" si="56"/>
        <v/>
      </c>
      <c r="S88" s="82" t="str">
        <f t="shared" si="57"/>
        <v/>
      </c>
      <c r="T88" s="82" t="str">
        <f t="shared" si="58"/>
        <v/>
      </c>
      <c r="U88" s="82" t="str">
        <f t="shared" si="47"/>
        <v/>
      </c>
      <c r="V88" s="82" t="str">
        <f t="shared" si="59"/>
        <v/>
      </c>
      <c r="W88" s="82" t="str">
        <f t="shared" si="60"/>
        <v/>
      </c>
      <c r="X88" s="82" t="str">
        <f t="shared" si="61"/>
        <v/>
      </c>
      <c r="Y88" s="82" t="str">
        <f t="shared" si="62"/>
        <v/>
      </c>
      <c r="Z88" s="82" t="str">
        <f t="shared" si="63"/>
        <v/>
      </c>
      <c r="AA88" s="82" t="str">
        <f t="shared" si="64"/>
        <v/>
      </c>
      <c r="AB88" s="82" t="str">
        <f t="shared" si="48"/>
        <v/>
      </c>
      <c r="AC88" s="82" t="str">
        <f t="shared" si="49"/>
        <v/>
      </c>
      <c r="AD88" s="85" t="str">
        <f t="shared" si="65"/>
        <v/>
      </c>
      <c r="AE88" s="82" t="str">
        <f t="shared" si="66"/>
        <v/>
      </c>
      <c r="AF88" s="83" t="str">
        <f t="shared" si="67"/>
        <v/>
      </c>
      <c r="AG88" s="83" t="str">
        <f t="shared" si="68"/>
        <v/>
      </c>
      <c r="AH88" s="82" t="str">
        <f t="shared" si="69"/>
        <v/>
      </c>
      <c r="AI88" s="82" t="str">
        <f t="shared" si="50"/>
        <v/>
      </c>
      <c r="AJ88" s="82" t="str">
        <f t="shared" si="51"/>
        <v/>
      </c>
      <c r="AK88" s="82" t="str">
        <f t="shared" si="52"/>
        <v/>
      </c>
      <c r="AL88" s="82" t="str">
        <f>IF(ISBLANK(AR126)=TRUE,"",ROWS($AS$3:AS126))</f>
        <v/>
      </c>
      <c r="AM88" s="82" t="str">
        <f>IF('Portfolio 3'!$A$2=Y126,AV126,"")</f>
        <v/>
      </c>
      <c r="AN88" s="82" t="str">
        <f>IF(Y126='Portfolio 3'!$A$104,AV126,"")</f>
        <v/>
      </c>
      <c r="AO88" s="82" t="str">
        <f>IFERROR(SMALL($AN$3:$AN$101,ROWS($AS$3:AS126)),"")</f>
        <v/>
      </c>
      <c r="AP88" s="82" t="str">
        <f>IFERROR(SMALL($AM$3:$AM$101,ROWS($AS$3:AT126)),"")</f>
        <v/>
      </c>
    </row>
    <row r="89" spans="1:42">
      <c r="A89" s="82"/>
      <c r="B89" s="82"/>
      <c r="C89" s="82"/>
      <c r="D89" s="82"/>
      <c r="E89" s="82"/>
      <c r="F89" s="82"/>
      <c r="G89" s="82"/>
      <c r="I89" s="82"/>
      <c r="J89" s="82"/>
      <c r="K89" s="82"/>
      <c r="N89" s="82" t="str">
        <f t="shared" si="70"/>
        <v/>
      </c>
      <c r="O89" s="82" t="str">
        <f t="shared" si="53"/>
        <v/>
      </c>
      <c r="P89" s="82" t="str">
        <f t="shared" si="54"/>
        <v/>
      </c>
      <c r="Q89" s="82" t="str">
        <f t="shared" si="55"/>
        <v/>
      </c>
      <c r="R89" s="82" t="str">
        <f t="shared" si="56"/>
        <v/>
      </c>
      <c r="S89" s="82" t="str">
        <f t="shared" si="57"/>
        <v/>
      </c>
      <c r="T89" s="82" t="str">
        <f t="shared" si="58"/>
        <v/>
      </c>
      <c r="U89" s="82" t="str">
        <f t="shared" si="47"/>
        <v/>
      </c>
      <c r="V89" s="82" t="str">
        <f t="shared" si="59"/>
        <v/>
      </c>
      <c r="W89" s="82" t="str">
        <f t="shared" si="60"/>
        <v/>
      </c>
      <c r="X89" s="82" t="str">
        <f t="shared" si="61"/>
        <v/>
      </c>
      <c r="Y89" s="82" t="str">
        <f t="shared" si="62"/>
        <v/>
      </c>
      <c r="Z89" s="82" t="str">
        <f t="shared" si="63"/>
        <v/>
      </c>
      <c r="AA89" s="82" t="str">
        <f t="shared" si="64"/>
        <v/>
      </c>
      <c r="AB89" s="82" t="str">
        <f t="shared" si="48"/>
        <v/>
      </c>
      <c r="AC89" s="82" t="str">
        <f t="shared" si="49"/>
        <v/>
      </c>
      <c r="AD89" s="85" t="str">
        <f t="shared" si="65"/>
        <v/>
      </c>
      <c r="AE89" s="82" t="str">
        <f t="shared" si="66"/>
        <v/>
      </c>
      <c r="AF89" s="83" t="str">
        <f t="shared" si="67"/>
        <v/>
      </c>
      <c r="AG89" s="83" t="str">
        <f t="shared" si="68"/>
        <v/>
      </c>
      <c r="AH89" s="82" t="str">
        <f t="shared" si="69"/>
        <v/>
      </c>
      <c r="AI89" s="82" t="str">
        <f t="shared" si="50"/>
        <v/>
      </c>
      <c r="AJ89" s="82" t="str">
        <f t="shared" si="51"/>
        <v/>
      </c>
      <c r="AK89" s="82" t="str">
        <f t="shared" si="52"/>
        <v/>
      </c>
      <c r="AL89" s="82" t="str">
        <f>IF(ISBLANK(AR127)=TRUE,"",ROWS($AS$3:AS127))</f>
        <v/>
      </c>
      <c r="AM89" s="82" t="str">
        <f>IF('Portfolio 3'!$A$2=Y127,AV127,"")</f>
        <v/>
      </c>
      <c r="AN89" s="82" t="str">
        <f>IF(Y127='Portfolio 3'!$A$104,AV127,"")</f>
        <v/>
      </c>
      <c r="AO89" s="82" t="str">
        <f>IFERROR(SMALL($AN$3:$AN$101,ROWS($AS$3:AS127)),"")</f>
        <v/>
      </c>
      <c r="AP89" s="82" t="str">
        <f>IFERROR(SMALL($AM$3:$AM$101,ROWS($AS$3:AT127)),"")</f>
        <v/>
      </c>
    </row>
    <row r="90" spans="1:42">
      <c r="A90" s="82"/>
      <c r="B90" s="82"/>
      <c r="C90" s="82"/>
      <c r="D90" s="82"/>
      <c r="E90" s="82"/>
      <c r="F90" s="82"/>
      <c r="G90" s="82"/>
      <c r="I90" s="82"/>
      <c r="J90" s="82"/>
      <c r="K90" s="82"/>
      <c r="N90" s="82" t="str">
        <f t="shared" si="70"/>
        <v/>
      </c>
      <c r="O90" s="82" t="str">
        <f t="shared" si="53"/>
        <v/>
      </c>
      <c r="P90" s="82" t="str">
        <f t="shared" si="54"/>
        <v/>
      </c>
      <c r="Q90" s="82" t="str">
        <f t="shared" si="55"/>
        <v/>
      </c>
      <c r="R90" s="82" t="str">
        <f t="shared" si="56"/>
        <v/>
      </c>
      <c r="S90" s="82" t="str">
        <f t="shared" si="57"/>
        <v/>
      </c>
      <c r="T90" s="82" t="str">
        <f t="shared" si="58"/>
        <v/>
      </c>
      <c r="U90" s="82" t="str">
        <f t="shared" si="47"/>
        <v/>
      </c>
      <c r="V90" s="82" t="str">
        <f t="shared" si="59"/>
        <v/>
      </c>
      <c r="W90" s="82" t="str">
        <f t="shared" si="60"/>
        <v/>
      </c>
      <c r="X90" s="82" t="str">
        <f t="shared" si="61"/>
        <v/>
      </c>
      <c r="Y90" s="82" t="str">
        <f t="shared" si="62"/>
        <v/>
      </c>
      <c r="Z90" s="82" t="str">
        <f t="shared" si="63"/>
        <v/>
      </c>
      <c r="AA90" s="82" t="str">
        <f t="shared" si="64"/>
        <v/>
      </c>
      <c r="AB90" s="82" t="str">
        <f t="shared" si="48"/>
        <v/>
      </c>
      <c r="AC90" s="82" t="str">
        <f t="shared" si="49"/>
        <v/>
      </c>
      <c r="AD90" s="85" t="str">
        <f t="shared" si="65"/>
        <v/>
      </c>
      <c r="AE90" s="82" t="str">
        <f t="shared" si="66"/>
        <v/>
      </c>
      <c r="AF90" s="83" t="str">
        <f t="shared" si="67"/>
        <v/>
      </c>
      <c r="AG90" s="83" t="str">
        <f t="shared" si="68"/>
        <v/>
      </c>
      <c r="AH90" s="82" t="str">
        <f t="shared" si="69"/>
        <v/>
      </c>
      <c r="AI90" s="82" t="str">
        <f t="shared" si="50"/>
        <v/>
      </c>
      <c r="AJ90" s="82" t="str">
        <f t="shared" si="51"/>
        <v/>
      </c>
      <c r="AK90" s="82" t="str">
        <f t="shared" si="52"/>
        <v/>
      </c>
      <c r="AL90" s="82" t="str">
        <f>IF(ISBLANK(AR128)=TRUE,"",ROWS($AS$3:AS128))</f>
        <v/>
      </c>
      <c r="AM90" s="82" t="str">
        <f>IF('Portfolio 3'!$A$2=Y128,AV128,"")</f>
        <v/>
      </c>
      <c r="AN90" s="82" t="str">
        <f>IF(Y128='Portfolio 3'!$A$104,AV128,"")</f>
        <v/>
      </c>
      <c r="AO90" s="82" t="str">
        <f>IFERROR(SMALL($AN$3:$AN$101,ROWS($AS$3:AS128)),"")</f>
        <v/>
      </c>
      <c r="AP90" s="82" t="str">
        <f>IFERROR(SMALL($AM$3:$AM$101,ROWS($AS$3:AT128)),"")</f>
        <v/>
      </c>
    </row>
    <row r="91" spans="1:42">
      <c r="A91" s="82"/>
      <c r="B91" s="82"/>
      <c r="C91" s="82"/>
      <c r="D91" s="82"/>
      <c r="E91" s="82"/>
      <c r="F91" s="82"/>
      <c r="G91" s="82"/>
      <c r="I91" s="82"/>
      <c r="J91" s="82"/>
      <c r="K91" s="82"/>
      <c r="N91" s="82" t="str">
        <f t="shared" si="70"/>
        <v/>
      </c>
      <c r="O91" s="82" t="str">
        <f t="shared" si="53"/>
        <v/>
      </c>
      <c r="P91" s="82" t="str">
        <f t="shared" si="54"/>
        <v/>
      </c>
      <c r="Q91" s="82" t="str">
        <f t="shared" si="55"/>
        <v/>
      </c>
      <c r="R91" s="82" t="str">
        <f t="shared" si="56"/>
        <v/>
      </c>
      <c r="S91" s="82" t="str">
        <f t="shared" si="57"/>
        <v/>
      </c>
      <c r="T91" s="82" t="str">
        <f t="shared" si="58"/>
        <v/>
      </c>
      <c r="U91" s="82" t="str">
        <f t="shared" si="47"/>
        <v/>
      </c>
      <c r="V91" s="82" t="str">
        <f t="shared" si="59"/>
        <v/>
      </c>
      <c r="W91" s="82" t="str">
        <f t="shared" si="60"/>
        <v/>
      </c>
      <c r="X91" s="82" t="str">
        <f t="shared" si="61"/>
        <v/>
      </c>
      <c r="Y91" s="82" t="str">
        <f t="shared" si="62"/>
        <v/>
      </c>
      <c r="Z91" s="82" t="str">
        <f t="shared" si="63"/>
        <v/>
      </c>
      <c r="AA91" s="82" t="str">
        <f t="shared" si="64"/>
        <v/>
      </c>
      <c r="AB91" s="82" t="str">
        <f t="shared" si="48"/>
        <v/>
      </c>
      <c r="AC91" s="82" t="str">
        <f t="shared" si="49"/>
        <v/>
      </c>
      <c r="AD91" s="85" t="str">
        <f t="shared" si="65"/>
        <v/>
      </c>
      <c r="AE91" s="82" t="str">
        <f t="shared" si="66"/>
        <v/>
      </c>
      <c r="AF91" s="83" t="str">
        <f t="shared" si="67"/>
        <v/>
      </c>
      <c r="AG91" s="83" t="str">
        <f t="shared" si="68"/>
        <v/>
      </c>
      <c r="AH91" s="82" t="str">
        <f t="shared" si="69"/>
        <v/>
      </c>
      <c r="AI91" s="82" t="str">
        <f t="shared" si="50"/>
        <v/>
      </c>
      <c r="AJ91" s="82" t="str">
        <f t="shared" si="51"/>
        <v/>
      </c>
      <c r="AK91" s="82" t="str">
        <f t="shared" si="52"/>
        <v/>
      </c>
      <c r="AL91" s="82" t="str">
        <f>IF(ISBLANK(AR129)=TRUE,"",ROWS($AS$3:AS129))</f>
        <v/>
      </c>
      <c r="AM91" s="82" t="str">
        <f>IF('Portfolio 3'!$A$2=Y129,AV129,"")</f>
        <v/>
      </c>
      <c r="AN91" s="82" t="str">
        <f>IF(Y129='Portfolio 3'!$A$104,AV129,"")</f>
        <v/>
      </c>
      <c r="AO91" s="82" t="str">
        <f>IFERROR(SMALL($AN$3:$AN$101,ROWS($AS$3:AS129)),"")</f>
        <v/>
      </c>
      <c r="AP91" s="82" t="str">
        <f>IFERROR(SMALL($AM$3:$AM$101,ROWS($AS$3:AT129)),"")</f>
        <v/>
      </c>
    </row>
    <row r="92" spans="1:42">
      <c r="A92" s="82"/>
      <c r="B92" s="82"/>
      <c r="C92" s="82"/>
      <c r="D92" s="82"/>
      <c r="E92" s="82"/>
      <c r="F92" s="82"/>
      <c r="G92" s="82"/>
      <c r="I92" s="82"/>
      <c r="J92" s="82"/>
      <c r="K92" s="82"/>
      <c r="N92" s="82" t="str">
        <f t="shared" si="70"/>
        <v/>
      </c>
      <c r="O92" s="82" t="str">
        <f t="shared" si="53"/>
        <v/>
      </c>
      <c r="P92" s="82" t="str">
        <f t="shared" si="54"/>
        <v/>
      </c>
      <c r="Q92" s="82" t="str">
        <f t="shared" si="55"/>
        <v/>
      </c>
      <c r="R92" s="82" t="str">
        <f t="shared" si="56"/>
        <v/>
      </c>
      <c r="S92" s="82" t="str">
        <f t="shared" si="57"/>
        <v/>
      </c>
      <c r="T92" s="82" t="str">
        <f t="shared" si="58"/>
        <v/>
      </c>
      <c r="U92" s="82" t="str">
        <f t="shared" si="47"/>
        <v/>
      </c>
      <c r="V92" s="82" t="str">
        <f t="shared" si="59"/>
        <v/>
      </c>
      <c r="W92" s="82" t="str">
        <f t="shared" si="60"/>
        <v/>
      </c>
      <c r="X92" s="82" t="str">
        <f t="shared" si="61"/>
        <v/>
      </c>
      <c r="Y92" s="82" t="str">
        <f t="shared" si="62"/>
        <v/>
      </c>
      <c r="Z92" s="82" t="str">
        <f t="shared" si="63"/>
        <v/>
      </c>
      <c r="AA92" s="82" t="str">
        <f t="shared" si="64"/>
        <v/>
      </c>
      <c r="AB92" s="82" t="str">
        <f t="shared" si="48"/>
        <v/>
      </c>
      <c r="AC92" s="82" t="str">
        <f t="shared" si="49"/>
        <v/>
      </c>
      <c r="AD92" s="85" t="str">
        <f t="shared" si="65"/>
        <v/>
      </c>
      <c r="AE92" s="82" t="str">
        <f t="shared" si="66"/>
        <v/>
      </c>
      <c r="AF92" s="83" t="str">
        <f t="shared" si="67"/>
        <v/>
      </c>
      <c r="AG92" s="83" t="str">
        <f t="shared" si="68"/>
        <v/>
      </c>
      <c r="AH92" s="82" t="str">
        <f t="shared" si="69"/>
        <v/>
      </c>
      <c r="AI92" s="82" t="str">
        <f t="shared" si="50"/>
        <v/>
      </c>
      <c r="AJ92" s="82" t="str">
        <f t="shared" si="51"/>
        <v/>
      </c>
      <c r="AK92" s="82" t="str">
        <f t="shared" si="52"/>
        <v/>
      </c>
      <c r="AL92" s="82" t="str">
        <f>IF(ISBLANK(AR130)=TRUE,"",ROWS($AS$3:AS130))</f>
        <v/>
      </c>
      <c r="AM92" s="82" t="str">
        <f>IF('Portfolio 3'!$A$2=Y130,AV130,"")</f>
        <v/>
      </c>
      <c r="AN92" s="82" t="str">
        <f>IF(Y130='Portfolio 3'!$A$104,AV130,"")</f>
        <v/>
      </c>
      <c r="AO92" s="82" t="str">
        <f>IFERROR(SMALL($AN$3:$AN$101,ROWS($AS$3:AS130)),"")</f>
        <v/>
      </c>
      <c r="AP92" s="82" t="str">
        <f>IFERROR(SMALL($AM$3:$AM$101,ROWS($AS$3:AT130)),"")</f>
        <v/>
      </c>
    </row>
    <row r="93" spans="1:42">
      <c r="A93" s="82"/>
      <c r="B93" s="82"/>
      <c r="C93" s="82"/>
      <c r="D93" s="82"/>
      <c r="E93" s="82"/>
      <c r="F93" s="82"/>
      <c r="G93" s="82"/>
      <c r="I93" s="82"/>
      <c r="J93" s="82"/>
      <c r="K93" s="82"/>
      <c r="N93" s="82" t="str">
        <f t="shared" si="70"/>
        <v/>
      </c>
      <c r="O93" s="82" t="str">
        <f t="shared" si="53"/>
        <v/>
      </c>
      <c r="P93" s="82" t="str">
        <f t="shared" si="54"/>
        <v/>
      </c>
      <c r="Q93" s="82" t="str">
        <f t="shared" si="55"/>
        <v/>
      </c>
      <c r="R93" s="82" t="str">
        <f t="shared" si="56"/>
        <v/>
      </c>
      <c r="S93" s="82" t="str">
        <f t="shared" si="57"/>
        <v/>
      </c>
      <c r="T93" s="82" t="str">
        <f t="shared" si="58"/>
        <v/>
      </c>
      <c r="U93" s="82" t="str">
        <f t="shared" si="47"/>
        <v/>
      </c>
      <c r="V93" s="82" t="str">
        <f t="shared" si="59"/>
        <v/>
      </c>
      <c r="W93" s="82" t="str">
        <f t="shared" si="60"/>
        <v/>
      </c>
      <c r="X93" s="82" t="str">
        <f t="shared" si="61"/>
        <v/>
      </c>
      <c r="Y93" s="82" t="str">
        <f t="shared" si="62"/>
        <v/>
      </c>
      <c r="Z93" s="82" t="str">
        <f t="shared" si="63"/>
        <v/>
      </c>
      <c r="AA93" s="82" t="str">
        <f t="shared" si="64"/>
        <v/>
      </c>
      <c r="AB93" s="82" t="str">
        <f t="shared" si="48"/>
        <v/>
      </c>
      <c r="AC93" s="82" t="str">
        <f t="shared" si="49"/>
        <v/>
      </c>
      <c r="AD93" s="85" t="str">
        <f t="shared" si="65"/>
        <v/>
      </c>
      <c r="AE93" s="82" t="str">
        <f t="shared" si="66"/>
        <v/>
      </c>
      <c r="AF93" s="83" t="str">
        <f t="shared" si="67"/>
        <v/>
      </c>
      <c r="AG93" s="83" t="str">
        <f t="shared" si="68"/>
        <v/>
      </c>
      <c r="AH93" s="82" t="str">
        <f t="shared" si="69"/>
        <v/>
      </c>
      <c r="AI93" s="82" t="str">
        <f t="shared" si="50"/>
        <v/>
      </c>
      <c r="AJ93" s="82" t="str">
        <f t="shared" si="51"/>
        <v/>
      </c>
      <c r="AK93" s="82" t="str">
        <f t="shared" si="52"/>
        <v/>
      </c>
      <c r="AL93" s="82" t="str">
        <f>IF(ISBLANK(AR131)=TRUE,"",ROWS($AS$3:AS131))</f>
        <v/>
      </c>
      <c r="AM93" s="82" t="str">
        <f>IF('Portfolio 3'!$A$2=Y131,AV131,"")</f>
        <v/>
      </c>
      <c r="AN93" s="82" t="str">
        <f>IF(Y131='Portfolio 3'!$A$104,AV131,"")</f>
        <v/>
      </c>
      <c r="AO93" s="82" t="str">
        <f>IFERROR(SMALL($AN$3:$AN$101,ROWS($AS$3:AS131)),"")</f>
        <v/>
      </c>
      <c r="AP93" s="82" t="str">
        <f>IFERROR(SMALL($AM$3:$AM$101,ROWS($AS$3:AT131)),"")</f>
        <v/>
      </c>
    </row>
    <row r="94" spans="1:42">
      <c r="A94" s="82"/>
      <c r="B94" s="82"/>
      <c r="C94" s="82"/>
      <c r="D94" s="82"/>
      <c r="E94" s="82"/>
      <c r="F94" s="82"/>
      <c r="G94" s="82"/>
      <c r="I94" s="82"/>
      <c r="J94" s="82"/>
      <c r="K94" s="82"/>
      <c r="N94" s="82" t="str">
        <f t="shared" si="70"/>
        <v/>
      </c>
      <c r="O94" s="82" t="str">
        <f t="shared" si="53"/>
        <v/>
      </c>
      <c r="P94" s="82" t="str">
        <f t="shared" si="54"/>
        <v/>
      </c>
      <c r="Q94" s="82" t="str">
        <f t="shared" si="55"/>
        <v/>
      </c>
      <c r="R94" s="82" t="str">
        <f t="shared" si="56"/>
        <v/>
      </c>
      <c r="S94" s="82" t="str">
        <f t="shared" si="57"/>
        <v/>
      </c>
      <c r="T94" s="82" t="str">
        <f t="shared" si="58"/>
        <v/>
      </c>
      <c r="U94" s="82" t="str">
        <f t="shared" si="47"/>
        <v/>
      </c>
      <c r="V94" s="82" t="str">
        <f t="shared" si="59"/>
        <v/>
      </c>
      <c r="W94" s="82" t="str">
        <f t="shared" si="60"/>
        <v/>
      </c>
      <c r="X94" s="82" t="str">
        <f t="shared" si="61"/>
        <v/>
      </c>
      <c r="Y94" s="82" t="str">
        <f t="shared" si="62"/>
        <v/>
      </c>
      <c r="Z94" s="82" t="str">
        <f t="shared" si="63"/>
        <v/>
      </c>
      <c r="AA94" s="82" t="str">
        <f t="shared" si="64"/>
        <v/>
      </c>
      <c r="AB94" s="82" t="str">
        <f t="shared" si="48"/>
        <v/>
      </c>
      <c r="AC94" s="82" t="str">
        <f t="shared" si="49"/>
        <v/>
      </c>
      <c r="AD94" s="85" t="str">
        <f t="shared" si="65"/>
        <v/>
      </c>
      <c r="AE94" s="82" t="str">
        <f t="shared" si="66"/>
        <v/>
      </c>
      <c r="AF94" s="83" t="str">
        <f t="shared" si="67"/>
        <v/>
      </c>
      <c r="AG94" s="83" t="str">
        <f t="shared" si="68"/>
        <v/>
      </c>
      <c r="AH94" s="82" t="str">
        <f t="shared" si="69"/>
        <v/>
      </c>
      <c r="AI94" s="82" t="str">
        <f t="shared" si="50"/>
        <v/>
      </c>
      <c r="AJ94" s="82" t="str">
        <f t="shared" si="51"/>
        <v/>
      </c>
      <c r="AK94" s="82" t="str">
        <f t="shared" si="52"/>
        <v/>
      </c>
      <c r="AL94" s="82" t="str">
        <f>IF(ISBLANK(AR132)=TRUE,"",ROWS($AS$3:AS132))</f>
        <v/>
      </c>
      <c r="AM94" s="82" t="str">
        <f>IF('Portfolio 3'!$A$2=Y132,AV132,"")</f>
        <v/>
      </c>
      <c r="AN94" s="82" t="str">
        <f>IF(Y132='Portfolio 3'!$A$104,AV132,"")</f>
        <v/>
      </c>
      <c r="AO94" s="82" t="str">
        <f>IFERROR(SMALL($AN$3:$AN$101,ROWS($AS$3:AS132)),"")</f>
        <v/>
      </c>
      <c r="AP94" s="82" t="str">
        <f>IFERROR(SMALL($AM$3:$AM$101,ROWS($AS$3:AT132)),"")</f>
        <v/>
      </c>
    </row>
    <row r="95" spans="1:42">
      <c r="A95" s="82"/>
      <c r="B95" s="82"/>
      <c r="C95" s="82"/>
      <c r="D95" s="82"/>
      <c r="E95" s="82"/>
      <c r="F95" s="82"/>
      <c r="G95" s="82"/>
      <c r="I95" s="82"/>
      <c r="J95" s="82"/>
      <c r="K95" s="82"/>
      <c r="N95" s="82" t="str">
        <f t="shared" si="70"/>
        <v/>
      </c>
      <c r="O95" s="82" t="str">
        <f t="shared" si="53"/>
        <v/>
      </c>
      <c r="P95" s="82" t="str">
        <f t="shared" si="54"/>
        <v/>
      </c>
      <c r="Q95" s="82" t="str">
        <f t="shared" si="55"/>
        <v/>
      </c>
      <c r="R95" s="82" t="str">
        <f t="shared" si="56"/>
        <v/>
      </c>
      <c r="S95" s="82" t="str">
        <f t="shared" si="57"/>
        <v/>
      </c>
      <c r="T95" s="82" t="str">
        <f t="shared" si="58"/>
        <v/>
      </c>
      <c r="U95" s="82" t="str">
        <f t="shared" si="47"/>
        <v/>
      </c>
      <c r="V95" s="82" t="str">
        <f t="shared" si="59"/>
        <v/>
      </c>
      <c r="W95" s="82" t="str">
        <f t="shared" si="60"/>
        <v/>
      </c>
      <c r="X95" s="82" t="str">
        <f t="shared" si="61"/>
        <v/>
      </c>
      <c r="Y95" s="82" t="str">
        <f t="shared" si="62"/>
        <v/>
      </c>
      <c r="Z95" s="82" t="str">
        <f t="shared" si="63"/>
        <v/>
      </c>
      <c r="AA95" s="82" t="str">
        <f t="shared" si="64"/>
        <v/>
      </c>
      <c r="AB95" s="82" t="str">
        <f t="shared" si="48"/>
        <v/>
      </c>
      <c r="AC95" s="82" t="str">
        <f t="shared" si="49"/>
        <v/>
      </c>
      <c r="AD95" s="85" t="str">
        <f t="shared" si="65"/>
        <v/>
      </c>
      <c r="AE95" s="82" t="str">
        <f t="shared" si="66"/>
        <v/>
      </c>
      <c r="AF95" s="83" t="str">
        <f t="shared" si="67"/>
        <v/>
      </c>
      <c r="AG95" s="83" t="str">
        <f t="shared" si="68"/>
        <v/>
      </c>
      <c r="AH95" s="82" t="str">
        <f t="shared" si="69"/>
        <v/>
      </c>
      <c r="AI95" s="82" t="str">
        <f t="shared" si="50"/>
        <v/>
      </c>
      <c r="AJ95" s="82" t="str">
        <f t="shared" si="51"/>
        <v/>
      </c>
      <c r="AK95" s="82" t="str">
        <f t="shared" si="52"/>
        <v/>
      </c>
      <c r="AL95" s="82" t="str">
        <f>IF(ISBLANK(AR133)=TRUE,"",ROWS($AS$3:AS133))</f>
        <v/>
      </c>
      <c r="AM95" s="82" t="str">
        <f>IF('Portfolio 3'!$A$2=Y133,AV133,"")</f>
        <v/>
      </c>
      <c r="AN95" s="82" t="str">
        <f>IF(Y133='Portfolio 3'!$A$104,AV133,"")</f>
        <v/>
      </c>
      <c r="AO95" s="82" t="str">
        <f>IFERROR(SMALL($AN$3:$AN$101,ROWS($AS$3:AS133)),"")</f>
        <v/>
      </c>
      <c r="AP95" s="82" t="str">
        <f>IFERROR(SMALL($AM$3:$AM$101,ROWS($AS$3:AT133)),"")</f>
        <v/>
      </c>
    </row>
    <row r="96" spans="1:42">
      <c r="A96" s="82"/>
      <c r="B96" s="82"/>
      <c r="C96" s="82"/>
      <c r="D96" s="82"/>
      <c r="E96" s="82"/>
      <c r="F96" s="82"/>
      <c r="G96" s="82"/>
      <c r="I96" s="82"/>
      <c r="J96" s="82"/>
      <c r="K96" s="82"/>
      <c r="N96" s="82" t="str">
        <f t="shared" si="70"/>
        <v/>
      </c>
      <c r="O96" s="82" t="str">
        <f t="shared" si="53"/>
        <v/>
      </c>
      <c r="P96" s="82" t="str">
        <f t="shared" si="54"/>
        <v/>
      </c>
      <c r="Q96" s="82" t="str">
        <f t="shared" si="55"/>
        <v/>
      </c>
      <c r="R96" s="82" t="str">
        <f t="shared" si="56"/>
        <v/>
      </c>
      <c r="S96" s="82" t="str">
        <f t="shared" si="57"/>
        <v/>
      </c>
      <c r="T96" s="82" t="str">
        <f t="shared" si="58"/>
        <v/>
      </c>
      <c r="U96" s="82" t="str">
        <f t="shared" si="47"/>
        <v/>
      </c>
      <c r="V96" s="82" t="str">
        <f t="shared" si="59"/>
        <v/>
      </c>
      <c r="W96" s="82" t="str">
        <f t="shared" si="60"/>
        <v/>
      </c>
      <c r="X96" s="82" t="str">
        <f t="shared" si="61"/>
        <v/>
      </c>
      <c r="Y96" s="82" t="str">
        <f t="shared" si="62"/>
        <v/>
      </c>
      <c r="Z96" s="82" t="str">
        <f t="shared" si="63"/>
        <v/>
      </c>
      <c r="AA96" s="82" t="str">
        <f t="shared" si="64"/>
        <v/>
      </c>
      <c r="AB96" s="82" t="str">
        <f t="shared" si="48"/>
        <v/>
      </c>
      <c r="AC96" s="82" t="str">
        <f t="shared" si="49"/>
        <v/>
      </c>
      <c r="AD96" s="85" t="str">
        <f t="shared" si="65"/>
        <v/>
      </c>
      <c r="AE96" s="82" t="str">
        <f t="shared" si="66"/>
        <v/>
      </c>
      <c r="AF96" s="83" t="str">
        <f t="shared" si="67"/>
        <v/>
      </c>
      <c r="AG96" s="83" t="str">
        <f t="shared" si="68"/>
        <v/>
      </c>
      <c r="AH96" s="82" t="str">
        <f t="shared" si="69"/>
        <v/>
      </c>
      <c r="AI96" s="82" t="str">
        <f t="shared" si="50"/>
        <v/>
      </c>
      <c r="AJ96" s="82" t="str">
        <f t="shared" si="51"/>
        <v/>
      </c>
      <c r="AK96" s="82" t="str">
        <f t="shared" si="52"/>
        <v/>
      </c>
      <c r="AL96" s="82" t="str">
        <f>IF(ISBLANK(AR134)=TRUE,"",ROWS($AS$3:AS134))</f>
        <v/>
      </c>
      <c r="AM96" s="82" t="str">
        <f>IF('Portfolio 3'!$A$2=Y134,AV134,"")</f>
        <v/>
      </c>
      <c r="AN96" s="82" t="str">
        <f>IF(Y134='Portfolio 3'!$A$104,AV134,"")</f>
        <v/>
      </c>
      <c r="AO96" s="82" t="str">
        <f>IFERROR(SMALL($AN$3:$AN$101,ROWS($AS$3:AS134)),"")</f>
        <v/>
      </c>
      <c r="AP96" s="82" t="str">
        <f>IFERROR(SMALL($AM$3:$AM$101,ROWS($AS$3:AT134)),"")</f>
        <v/>
      </c>
    </row>
    <row r="97" spans="1:42">
      <c r="A97" s="82"/>
      <c r="B97" s="82"/>
      <c r="C97" s="82"/>
      <c r="D97" s="82"/>
      <c r="E97" s="82"/>
      <c r="F97" s="82"/>
      <c r="G97" s="82"/>
      <c r="I97" s="82"/>
      <c r="J97" s="82"/>
      <c r="K97" s="82"/>
      <c r="N97" s="82" t="str">
        <f t="shared" si="70"/>
        <v/>
      </c>
      <c r="O97" s="82" t="str">
        <f t="shared" si="53"/>
        <v/>
      </c>
      <c r="P97" s="82" t="str">
        <f t="shared" si="54"/>
        <v/>
      </c>
      <c r="Q97" s="82" t="str">
        <f t="shared" si="55"/>
        <v/>
      </c>
      <c r="R97" s="82" t="str">
        <f t="shared" si="56"/>
        <v/>
      </c>
      <c r="S97" s="82" t="str">
        <f t="shared" si="57"/>
        <v/>
      </c>
      <c r="T97" s="82" t="str">
        <f t="shared" si="58"/>
        <v/>
      </c>
      <c r="U97" s="82" t="str">
        <f t="shared" si="47"/>
        <v/>
      </c>
      <c r="V97" s="82" t="str">
        <f t="shared" si="59"/>
        <v/>
      </c>
      <c r="W97" s="82" t="str">
        <f t="shared" si="60"/>
        <v/>
      </c>
      <c r="X97" s="82" t="str">
        <f t="shared" si="61"/>
        <v/>
      </c>
      <c r="Y97" s="82" t="str">
        <f t="shared" si="62"/>
        <v/>
      </c>
      <c r="Z97" s="82" t="str">
        <f t="shared" si="63"/>
        <v/>
      </c>
      <c r="AA97" s="82" t="str">
        <f t="shared" si="64"/>
        <v/>
      </c>
      <c r="AB97" s="82" t="str">
        <f t="shared" si="48"/>
        <v/>
      </c>
      <c r="AC97" s="82" t="str">
        <f t="shared" si="49"/>
        <v/>
      </c>
      <c r="AD97" s="85" t="str">
        <f t="shared" si="65"/>
        <v/>
      </c>
      <c r="AE97" s="82" t="str">
        <f t="shared" si="66"/>
        <v/>
      </c>
      <c r="AF97" s="83" t="str">
        <f t="shared" si="67"/>
        <v/>
      </c>
      <c r="AG97" s="83" t="str">
        <f t="shared" si="68"/>
        <v/>
      </c>
      <c r="AH97" s="82" t="str">
        <f t="shared" si="69"/>
        <v/>
      </c>
      <c r="AI97" s="82" t="str">
        <f t="shared" si="50"/>
        <v/>
      </c>
      <c r="AJ97" s="82" t="str">
        <f t="shared" si="51"/>
        <v/>
      </c>
      <c r="AK97" s="82" t="str">
        <f t="shared" si="52"/>
        <v/>
      </c>
      <c r="AL97" s="82" t="str">
        <f>IF(ISBLANK(AR135)=TRUE,"",ROWS($AS$3:AS135))</f>
        <v/>
      </c>
      <c r="AM97" s="82" t="str">
        <f>IF('Portfolio 3'!$A$2=Y135,AV135,"")</f>
        <v/>
      </c>
      <c r="AN97" s="82" t="str">
        <f>IF(Y135='Portfolio 3'!$A$104,AV135,"")</f>
        <v/>
      </c>
      <c r="AO97" s="82" t="str">
        <f>IFERROR(SMALL($AN$3:$AN$101,ROWS($AS$3:AS135)),"")</f>
        <v/>
      </c>
      <c r="AP97" s="82" t="str">
        <f>IFERROR(SMALL($AM$3:$AM$101,ROWS($AS$3:AT135)),"")</f>
        <v/>
      </c>
    </row>
    <row r="98" spans="1:42">
      <c r="A98" s="82"/>
      <c r="B98" s="82"/>
      <c r="C98" s="82"/>
      <c r="D98" s="82"/>
      <c r="E98" s="82"/>
      <c r="F98" s="82"/>
      <c r="G98" s="82"/>
      <c r="I98" s="82"/>
      <c r="J98" s="82"/>
      <c r="K98" s="82"/>
      <c r="N98" s="82" t="str">
        <f t="shared" si="70"/>
        <v/>
      </c>
      <c r="O98" s="82" t="str">
        <f t="shared" si="53"/>
        <v/>
      </c>
      <c r="P98" s="82" t="str">
        <f t="shared" si="54"/>
        <v/>
      </c>
      <c r="Q98" s="82" t="str">
        <f t="shared" si="55"/>
        <v/>
      </c>
      <c r="R98" s="82" t="str">
        <f t="shared" si="56"/>
        <v/>
      </c>
      <c r="S98" s="82" t="str">
        <f t="shared" si="57"/>
        <v/>
      </c>
      <c r="T98" s="82" t="str">
        <f t="shared" si="58"/>
        <v/>
      </c>
      <c r="U98" s="82" t="str">
        <f t="shared" si="47"/>
        <v/>
      </c>
      <c r="V98" s="82" t="str">
        <f t="shared" si="59"/>
        <v/>
      </c>
      <c r="W98" s="82" t="str">
        <f t="shared" si="60"/>
        <v/>
      </c>
      <c r="X98" s="82" t="str">
        <f t="shared" si="61"/>
        <v/>
      </c>
      <c r="Y98" s="82" t="str">
        <f t="shared" si="62"/>
        <v/>
      </c>
      <c r="Z98" s="82" t="str">
        <f t="shared" si="63"/>
        <v/>
      </c>
      <c r="AA98" s="82" t="str">
        <f t="shared" si="64"/>
        <v/>
      </c>
      <c r="AB98" s="82" t="str">
        <f t="shared" si="48"/>
        <v/>
      </c>
      <c r="AC98" s="82" t="str">
        <f t="shared" si="49"/>
        <v/>
      </c>
      <c r="AD98" s="85" t="str">
        <f t="shared" si="65"/>
        <v/>
      </c>
      <c r="AE98" s="82" t="str">
        <f t="shared" si="66"/>
        <v/>
      </c>
      <c r="AF98" s="83" t="str">
        <f t="shared" si="67"/>
        <v/>
      </c>
      <c r="AG98" s="83" t="str">
        <f t="shared" si="68"/>
        <v/>
      </c>
      <c r="AH98" s="82" t="str">
        <f t="shared" si="69"/>
        <v/>
      </c>
      <c r="AI98" s="82" t="str">
        <f t="shared" si="50"/>
        <v/>
      </c>
      <c r="AJ98" s="82" t="str">
        <f t="shared" si="51"/>
        <v/>
      </c>
      <c r="AK98" s="82" t="str">
        <f t="shared" si="52"/>
        <v/>
      </c>
      <c r="AL98" s="82" t="str">
        <f>IF(ISBLANK(AR136)=TRUE,"",ROWS($AS$3:AS136))</f>
        <v/>
      </c>
      <c r="AM98" s="82" t="str">
        <f>IF('Portfolio 3'!$A$2=Y136,AV136,"")</f>
        <v/>
      </c>
      <c r="AN98" s="82" t="str">
        <f>IF(Y136='Portfolio 3'!$A$104,AV136,"")</f>
        <v/>
      </c>
      <c r="AO98" s="82" t="str">
        <f>IFERROR(SMALL($AN$3:$AN$101,ROWS($AS$3:AS136)),"")</f>
        <v/>
      </c>
      <c r="AP98" s="82" t="str">
        <f>IFERROR(SMALL($AM$3:$AM$101,ROWS($AS$3:AT136)),"")</f>
        <v/>
      </c>
    </row>
    <row r="99" spans="1:42">
      <c r="A99" s="82"/>
      <c r="B99" s="82"/>
      <c r="C99" s="82"/>
      <c r="D99" s="82"/>
      <c r="E99" s="82"/>
      <c r="F99" s="82"/>
      <c r="G99" s="82"/>
      <c r="I99" s="82"/>
      <c r="J99" s="82"/>
      <c r="K99" s="82"/>
      <c r="N99" s="82" t="str">
        <f t="shared" si="70"/>
        <v/>
      </c>
      <c r="O99" s="82" t="str">
        <f t="shared" si="53"/>
        <v/>
      </c>
      <c r="P99" s="82" t="str">
        <f t="shared" si="54"/>
        <v/>
      </c>
      <c r="Q99" s="82" t="str">
        <f t="shared" si="55"/>
        <v/>
      </c>
      <c r="R99" s="82" t="str">
        <f t="shared" si="56"/>
        <v/>
      </c>
      <c r="S99" s="82" t="str">
        <f t="shared" si="57"/>
        <v/>
      </c>
      <c r="T99" s="82" t="str">
        <f t="shared" si="58"/>
        <v/>
      </c>
      <c r="U99" s="82" t="str">
        <f t="shared" si="47"/>
        <v/>
      </c>
      <c r="V99" s="82" t="str">
        <f t="shared" si="59"/>
        <v/>
      </c>
      <c r="W99" s="82" t="str">
        <f t="shared" si="60"/>
        <v/>
      </c>
      <c r="X99" s="82" t="str">
        <f t="shared" si="61"/>
        <v/>
      </c>
      <c r="Y99" s="82" t="str">
        <f t="shared" si="62"/>
        <v/>
      </c>
      <c r="Z99" s="82" t="str">
        <f t="shared" si="63"/>
        <v/>
      </c>
      <c r="AA99" s="82" t="str">
        <f t="shared" si="64"/>
        <v/>
      </c>
      <c r="AB99" s="82" t="str">
        <f t="shared" si="48"/>
        <v/>
      </c>
      <c r="AC99" s="82" t="str">
        <f t="shared" si="49"/>
        <v/>
      </c>
      <c r="AD99" s="85" t="str">
        <f t="shared" si="65"/>
        <v/>
      </c>
      <c r="AE99" s="82" t="str">
        <f t="shared" si="66"/>
        <v/>
      </c>
      <c r="AF99" s="83" t="str">
        <f t="shared" si="67"/>
        <v/>
      </c>
      <c r="AG99" s="83" t="str">
        <f t="shared" si="68"/>
        <v/>
      </c>
      <c r="AH99" s="82" t="str">
        <f t="shared" si="69"/>
        <v/>
      </c>
      <c r="AI99" s="82" t="str">
        <f t="shared" si="50"/>
        <v/>
      </c>
      <c r="AJ99" s="82" t="str">
        <f t="shared" si="51"/>
        <v/>
      </c>
      <c r="AK99" s="82" t="str">
        <f t="shared" si="52"/>
        <v/>
      </c>
      <c r="AL99" s="82" t="str">
        <f>IF(ISBLANK(AR137)=TRUE,"",ROWS($AS$3:AS137))</f>
        <v/>
      </c>
      <c r="AM99" s="82" t="str">
        <f>IF('Portfolio 3'!$A$2=Y137,AV137,"")</f>
        <v/>
      </c>
      <c r="AN99" s="82" t="str">
        <f>IF(Y137='Portfolio 3'!$A$104,AV137,"")</f>
        <v/>
      </c>
      <c r="AO99" s="82" t="str">
        <f>IFERROR(SMALL($AN$3:$AN$101,ROWS($AS$3:AS137)),"")</f>
        <v/>
      </c>
      <c r="AP99" s="82" t="str">
        <f>IFERROR(SMALL($AM$3:$AM$101,ROWS($AS$3:AT137)),"")</f>
        <v/>
      </c>
    </row>
    <row r="100" spans="1:42">
      <c r="A100" s="82"/>
      <c r="B100" s="82"/>
      <c r="C100" s="82"/>
      <c r="D100" s="82"/>
      <c r="E100" s="82"/>
      <c r="F100" s="82"/>
      <c r="G100" s="82"/>
      <c r="I100" s="82"/>
      <c r="J100" s="82"/>
      <c r="K100" s="82"/>
      <c r="N100" s="82" t="str">
        <f t="shared" si="70"/>
        <v/>
      </c>
      <c r="O100" s="82" t="str">
        <f t="shared" si="53"/>
        <v/>
      </c>
      <c r="P100" s="82" t="str">
        <f t="shared" si="54"/>
        <v/>
      </c>
      <c r="Q100" s="82" t="str">
        <f t="shared" si="55"/>
        <v/>
      </c>
      <c r="R100" s="82" t="str">
        <f t="shared" si="56"/>
        <v/>
      </c>
      <c r="S100" s="82" t="str">
        <f t="shared" si="57"/>
        <v/>
      </c>
      <c r="T100" s="82" t="str">
        <f t="shared" si="58"/>
        <v/>
      </c>
      <c r="U100" s="82" t="str">
        <f t="shared" si="47"/>
        <v/>
      </c>
      <c r="V100" s="82" t="str">
        <f t="shared" si="59"/>
        <v/>
      </c>
      <c r="W100" s="82" t="str">
        <f t="shared" si="60"/>
        <v/>
      </c>
      <c r="X100" s="82" t="str">
        <f t="shared" si="61"/>
        <v/>
      </c>
      <c r="Y100" s="82" t="str">
        <f t="shared" si="62"/>
        <v/>
      </c>
      <c r="Z100" s="82" t="str">
        <f t="shared" si="63"/>
        <v/>
      </c>
      <c r="AA100" s="82" t="str">
        <f t="shared" si="64"/>
        <v/>
      </c>
      <c r="AB100" s="82" t="str">
        <f t="shared" si="48"/>
        <v/>
      </c>
      <c r="AC100" s="82" t="str">
        <f t="shared" si="49"/>
        <v/>
      </c>
      <c r="AD100" s="85" t="str">
        <f t="shared" si="65"/>
        <v/>
      </c>
      <c r="AE100" s="82" t="str">
        <f t="shared" si="66"/>
        <v/>
      </c>
      <c r="AF100" s="83" t="str">
        <f t="shared" si="67"/>
        <v/>
      </c>
      <c r="AG100" s="83" t="str">
        <f t="shared" si="68"/>
        <v/>
      </c>
      <c r="AH100" s="82" t="str">
        <f t="shared" si="69"/>
        <v/>
      </c>
      <c r="AI100" s="82" t="str">
        <f t="shared" si="50"/>
        <v/>
      </c>
      <c r="AJ100" s="82" t="str">
        <f t="shared" si="51"/>
        <v/>
      </c>
      <c r="AK100" s="82" t="str">
        <f t="shared" si="52"/>
        <v/>
      </c>
      <c r="AL100" s="82" t="str">
        <f>IF(ISBLANK(AR138)=TRUE,"",ROWS($AS$3:AS138))</f>
        <v/>
      </c>
      <c r="AM100" s="82" t="str">
        <f>IF('Portfolio 3'!$A$2=Y138,AV138,"")</f>
        <v/>
      </c>
      <c r="AN100" s="82" t="str">
        <f>IF(Y138='Portfolio 3'!$A$104,AV138,"")</f>
        <v/>
      </c>
      <c r="AO100" s="82" t="str">
        <f>IFERROR(SMALL($AN$3:$AN$101,ROWS($AS$3:AS138)),"")</f>
        <v/>
      </c>
      <c r="AP100" s="82" t="str">
        <f>IFERROR(SMALL($AM$3:$AM$101,ROWS($AS$3:AT138)),"")</f>
        <v/>
      </c>
    </row>
    <row r="101" spans="1:42">
      <c r="A101" s="82"/>
      <c r="B101" s="82"/>
      <c r="C101" s="82"/>
      <c r="D101" s="82"/>
      <c r="E101" s="82"/>
      <c r="F101" s="82"/>
      <c r="G101" s="82"/>
      <c r="I101" s="82"/>
      <c r="J101" s="82"/>
      <c r="K101" s="82"/>
      <c r="N101" s="82" t="str">
        <f t="shared" si="70"/>
        <v/>
      </c>
      <c r="O101" s="82" t="str">
        <f t="shared" si="53"/>
        <v/>
      </c>
      <c r="P101" s="82" t="str">
        <f t="shared" si="54"/>
        <v/>
      </c>
      <c r="Q101" s="82" t="str">
        <f t="shared" si="55"/>
        <v/>
      </c>
      <c r="R101" s="82" t="str">
        <f t="shared" si="56"/>
        <v/>
      </c>
      <c r="S101" s="82" t="str">
        <f t="shared" si="57"/>
        <v/>
      </c>
      <c r="T101" s="82" t="str">
        <f t="shared" si="58"/>
        <v/>
      </c>
      <c r="U101" s="82" t="str">
        <f t="shared" si="47"/>
        <v/>
      </c>
      <c r="V101" s="82" t="str">
        <f t="shared" si="59"/>
        <v/>
      </c>
      <c r="W101" s="82" t="str">
        <f t="shared" si="60"/>
        <v/>
      </c>
      <c r="X101" s="82" t="str">
        <f t="shared" si="61"/>
        <v/>
      </c>
      <c r="Y101" s="82" t="str">
        <f t="shared" si="62"/>
        <v/>
      </c>
      <c r="Z101" s="82" t="str">
        <f t="shared" si="63"/>
        <v/>
      </c>
      <c r="AA101" s="82" t="str">
        <f t="shared" si="64"/>
        <v/>
      </c>
      <c r="AB101" s="82" t="str">
        <f t="shared" si="48"/>
        <v/>
      </c>
      <c r="AC101" s="82" t="str">
        <f t="shared" si="49"/>
        <v/>
      </c>
      <c r="AD101" s="85" t="str">
        <f t="shared" si="65"/>
        <v/>
      </c>
      <c r="AE101" s="82" t="str">
        <f t="shared" si="66"/>
        <v/>
      </c>
      <c r="AF101" s="83" t="str">
        <f t="shared" si="67"/>
        <v/>
      </c>
      <c r="AG101" s="83" t="str">
        <f t="shared" si="68"/>
        <v/>
      </c>
      <c r="AH101" s="82" t="str">
        <f t="shared" si="69"/>
        <v/>
      </c>
      <c r="AI101" s="82" t="str">
        <f t="shared" si="50"/>
        <v/>
      </c>
      <c r="AJ101" s="82" t="str">
        <f t="shared" si="51"/>
        <v/>
      </c>
      <c r="AK101" s="82" t="str">
        <f t="shared" si="52"/>
        <v/>
      </c>
      <c r="AL101" s="82" t="str">
        <f>IF(ISBLANK(AR139)=TRUE,"",ROWS($AS$3:AS139))</f>
        <v/>
      </c>
      <c r="AM101" s="82" t="str">
        <f>IF('Portfolio 3'!$A$2=Y139,AV139,"")</f>
        <v/>
      </c>
      <c r="AN101" s="82" t="str">
        <f>IF(Y139='Portfolio 3'!$A$104,AV139,"")</f>
        <v/>
      </c>
      <c r="AO101" s="82" t="str">
        <f>IFERROR(SMALL($AN$3:$AN$101,ROWS($AS$3:AS139)),"")</f>
        <v/>
      </c>
      <c r="AP101" s="82" t="str">
        <f>IFERROR(SMALL($AM$3:$AM$101,ROWS($AS$3:AT139)),"")</f>
        <v/>
      </c>
    </row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3.5" customHeight="1"/>
    <row r="205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</sheetData>
  <mergeCells count="1">
    <mergeCell ref="N1:AP1"/>
  </mergeCells>
  <conditionalFormatting sqref="C12">
    <cfRule type="duplicateValues" dxfId="0" priority="13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Portfolio1</vt:lpstr>
      <vt:lpstr>Portfolio 2</vt:lpstr>
      <vt:lpstr>Portfolio 2_2</vt:lpstr>
      <vt:lpstr>Portfolio 3</vt:lpstr>
      <vt:lpstr>Portfolio 3_2</vt:lpstr>
      <vt:lpstr>'Portfolio 2_2'!Print_Area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</dc:creator>
  <cp:lastModifiedBy>B</cp:lastModifiedBy>
  <cp:lastPrinted>2022-01-03T05:37:30Z</cp:lastPrinted>
  <dcterms:created xsi:type="dcterms:W3CDTF">2015-06-05T18:17:20Z</dcterms:created>
  <dcterms:modified xsi:type="dcterms:W3CDTF">2023-05-20T05:12:07Z</dcterms:modified>
</cp:coreProperties>
</file>